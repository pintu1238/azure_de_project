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vicky\Downloads\"/>
    </mc:Choice>
  </mc:AlternateContent>
  <xr:revisionPtr revIDLastSave="0" documentId="13_ncr:1_{10DC3FE2-638A-4AC8-A0A5-18599617B870}" xr6:coauthVersionLast="47" xr6:coauthVersionMax="47" xr10:uidLastSave="{00000000-0000-0000-0000-000000000000}"/>
  <bookViews>
    <workbookView xWindow="-108" yWindow="-108" windowWidth="23256" windowHeight="12456" activeTab="1" xr2:uid="{5BCD15D9-05E4-4D23-B604-9AA7B701630B}"/>
  </bookViews>
  <sheets>
    <sheet name="Pivot_Report" sheetId="2" r:id="rId1"/>
    <sheet name="Dashboard" sheetId="1" r:id="rId2"/>
  </sheets>
  <definedNames>
    <definedName name="Slicer_Date__Month">#N/A</definedName>
    <definedName name="Slicer_Date__Year">#N/A</definedName>
  </definedNames>
  <calcPr calcId="191029"/>
  <pivotCaches>
    <pivotCache cacheId="903" r:id="rId3"/>
    <pivotCache cacheId="906" r:id="rId4"/>
    <pivotCache cacheId="909" r:id="rId5"/>
    <pivotCache cacheId="912" r:id="rId6"/>
    <pivotCache cacheId="915" r:id="rId7"/>
    <pivotCache cacheId="918" r:id="rId8"/>
    <pivotCache cacheId="921" r:id="rId9"/>
    <pivotCache cacheId="924" r:id="rId10"/>
    <pivotCache cacheId="927" r:id="rId11"/>
    <pivotCache cacheId="930" r:id="rId12"/>
    <pivotCache cacheId="933" r:id="rId13"/>
    <pivotCache cacheId="936" r:id="rId14"/>
    <pivotCache cacheId="939" r:id="rId15"/>
  </pivotCaches>
  <extLst>
    <ext xmlns:x14="http://schemas.microsoft.com/office/spreadsheetml/2009/9/main" uri="{876F7934-8845-4945-9796-88D515C7AA90}">
      <x14:pivotCaches>
        <pivotCache cacheId="68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a9ec832-55a8-4e82-9ae1-d2a143417bbe" name="Hospital Emergency Room Data" connection="Query - Hospital Emergency Room Data"/>
          <x15:modelTable id="Calendar_table_4cf73985-73aa-4b0c-9520-f57b6097863a"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2" l="1"/>
  <c r="D49" i="2"/>
  <c r="B4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7EC5F7-5869-4308-865E-F852209EA2CC}" name="Query - Calendar_table" description="Connection to the 'Calendar_table' query in the workbook." type="100" refreshedVersion="8" minRefreshableVersion="5">
    <extLst>
      <ext xmlns:x15="http://schemas.microsoft.com/office/spreadsheetml/2010/11/main" uri="{DE250136-89BD-433C-8126-D09CA5730AF9}">
        <x15:connection id="335c590e-195e-49ba-841b-5e77faedd02d"/>
      </ext>
    </extLst>
  </connection>
  <connection id="2" xr16:uid="{BB620F46-0696-419D-BE96-086DDE02738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d180e2a-4df4-4fb3-b854-f817491f8bdd"/>
      </ext>
    </extLst>
  </connection>
  <connection id="3" xr16:uid="{B44182F7-5076-4CF4-861D-689F4101A63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<sst xmlns="http://schemas.openxmlformats.org/spreadsheetml/2006/main" count="156" uniqueCount="69">
  <si>
    <t>Distinct Count of Patient Id</t>
  </si>
  <si>
    <t>no of patients</t>
  </si>
  <si>
    <t>Average of Patient Waittime</t>
  </si>
  <si>
    <t>Average of Patient Satisfaction Score</t>
  </si>
  <si>
    <t>Row Labels</t>
  </si>
  <si>
    <t>Grand Total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</si>
  <si>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</si>
  <si>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</si>
  <si>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</si>
  <si>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</si>
  <si>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</si>
  <si>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</si>
  <si>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</si>
  <si>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</si>
  <si>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</si>
  <si>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</si>
  <si>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</si>
  <si>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</si>
  <si>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</si>
  <si>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</si>
  <si>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</si>
  <si>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</si>
  <si>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</si>
  <si>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</si>
  <si>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</si>
  <si>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</si>
  <si>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</si>
  <si>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</si>
  <si>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</si>
  <si>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</si>
  <si>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</si>
  <si>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</si>
  <si>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</si>
  <si>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</si>
  <si>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</si>
  <si>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</si>
  <si>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daily trend of patient</t>
  </si>
  <si>
    <t>average no of patient</t>
  </si>
  <si>
    <t>Count of Patient Gender</t>
  </si>
  <si>
    <t>Count of Patient Admission Flag</t>
  </si>
  <si>
    <t>Admitted</t>
  </si>
  <si>
    <t>Not Admitted</t>
  </si>
  <si>
    <t>Female</t>
  </si>
  <si>
    <t>Male</t>
  </si>
  <si>
    <t>Count of Patient Admission Flag2</t>
  </si>
  <si>
    <t>Admission Status</t>
  </si>
  <si>
    <t>No. of Patient</t>
  </si>
  <si>
    <t>% Status</t>
  </si>
  <si>
    <t>0-09</t>
  </si>
  <si>
    <t>20-29</t>
  </si>
  <si>
    <t>30-39</t>
  </si>
  <si>
    <t>40-49</t>
  </si>
  <si>
    <t>50-59</t>
  </si>
  <si>
    <t>60-69</t>
  </si>
  <si>
    <t>70-79</t>
  </si>
  <si>
    <t>Count of Age Group</t>
  </si>
  <si>
    <t>Count of Patient Id</t>
  </si>
  <si>
    <t>Ontime</t>
  </si>
  <si>
    <t>Delay</t>
  </si>
  <si>
    <t>Cardiology</t>
  </si>
  <si>
    <t>Gastroenterology</t>
  </si>
  <si>
    <t>General Practice</t>
  </si>
  <si>
    <t>Neurology</t>
  </si>
  <si>
    <t>None</t>
  </si>
  <si>
    <t>Orthopedics</t>
  </si>
  <si>
    <t>Physiotherapy</t>
  </si>
  <si>
    <t>Renal</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</si>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</sst>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1" tint="0.499984740745262"/>
        <bgColor indexed="64"/>
      </patternFill>
    </fill>
    <fill>
      <patternFill patternType="solid">
        <fgColor rgb="FF00B0F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2" fontId="0" fillId="0" borderId="0" xfId="0" applyNumberFormat="1"/>
    <xf numFmtId="0" fontId="0" fillId="0" borderId="0" xfId="0" pivotButton="1"/>
    <xf numFmtId="0" fontId="0" fillId="2" borderId="0" xfId="0" applyFill="1"/>
    <xf numFmtId="0" fontId="0" fillId="0" borderId="0" xfId="0" applyAlignment="1">
      <alignment horizontal="left"/>
    </xf>
    <xf numFmtId="1" fontId="0" fillId="0" borderId="0" xfId="0" applyNumberFormat="1"/>
    <xf numFmtId="10" fontId="0" fillId="0" borderId="0" xfId="0" applyNumberFormat="1"/>
    <xf numFmtId="9" fontId="0" fillId="0" borderId="0" xfId="1" applyFont="1"/>
    <xf numFmtId="0" fontId="2" fillId="3" borderId="0" xfId="0" applyFont="1" applyFill="1"/>
  </cellXfs>
  <cellStyles count="2">
    <cellStyle name="Normal" xfId="0" builtinId="0"/>
    <cellStyle name="Percent" xfId="1" builtinId="5"/>
  </cellStyles>
  <dxfs count="122">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2" formatCode="0.00"/>
    </dxf>
    <dxf>
      <numFmt numFmtId="14" formatCode="0.00%"/>
    </dxf>
    <dxf>
      <numFmt numFmtId="2" formatCode="0.00"/>
    </dxf>
    <dxf>
      <numFmt numFmtId="1" formatCode="0"/>
    </dxf>
    <dxf>
      <numFmt numFmtId="2" formatCode="0.00"/>
    </dxf>
    <dxf>
      <numFmt numFmtId="2" formatCode="0.00"/>
    </dxf>
    <dxf>
      <font>
        <b/>
        <color theme="1"/>
      </font>
      <border>
        <bottom style="thin">
          <color theme="5"/>
        </bottom>
        <vertical/>
        <horizontal/>
      </border>
    </dxf>
    <dxf>
      <font>
        <sz val="8"/>
        <color theme="0"/>
      </font>
      <border diagonalUp="0" diagonalDown="0">
        <left/>
        <right/>
        <top/>
        <bottom/>
        <vertical/>
        <horizontal/>
      </border>
    </dxf>
    <dxf>
      <numFmt numFmtId="2" formatCode="0.00"/>
    </dxf>
    <dxf>
      <numFmt numFmtId="2" formatCode="0.00"/>
    </dxf>
  </dxfs>
  <tableStyles count="1" defaultTableStyle="TableStyleMedium2" defaultPivotStyle="PivotStyleLight16">
    <tableStyle name="mystyle" pivot="0" table="0" count="10" xr9:uid="{124B291E-EBA8-4555-9F1A-07223589CFDA}">
      <tableStyleElement type="wholeTable" dxfId="119"/>
      <tableStyleElement type="headerRow" dxfId="11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[Book1ppp.xlsx]Pivot_Report!PivotTable8</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fld id="{653BF35D-0A11-4DD5-A3F6-876B3281CE30}" type="CELLRANGE">
                  <a:rPr lang="en-US"/>
                  <a:pPr>
                    <a:defRPr sz="600"/>
                  </a:pPr>
                  <a:t>[CELLRANGE]</a:t>
                </a:fld>
                <a:endParaRPr lang="en-IN"/>
              </a:p>
            </c:rich>
          </c:tx>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1"/>
          </a:solidFill>
          <a:ln>
            <a:noFill/>
          </a:ln>
          <a:effectLst/>
        </c:spPr>
        <c:dLbl>
          <c:idx val="0"/>
          <c:tx>
            <c:rich>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fld id="{0236DAD0-5B53-4DDE-9252-53E5ECD1E9EA}" type="CELLRANGE">
                  <a:rPr lang="en-US"/>
                  <a:pPr>
                    <a:defRPr sz="600"/>
                  </a:pPr>
                  <a:t>[CELLRANGE]</a:t>
                </a:fld>
                <a:endParaRPr lang="en-IN"/>
              </a:p>
            </c:rich>
          </c:tx>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s>
    <c:plotArea>
      <c:layout>
        <c:manualLayout>
          <c:layoutTarget val="inner"/>
          <c:xMode val="edge"/>
          <c:yMode val="edge"/>
          <c:x val="4.7535844028022767E-3"/>
          <c:y val="0.1476920285303519"/>
          <c:w val="0.87752980425639571"/>
          <c:h val="0.77099046829672602"/>
        </c:manualLayout>
      </c:layout>
      <c:barChart>
        <c:barDir val="bar"/>
        <c:grouping val="clustered"/>
        <c:varyColors val="0"/>
        <c:ser>
          <c:idx val="0"/>
          <c:order val="0"/>
          <c:tx>
            <c:strRef>
              <c:f>Pivot_Report!$D$40:$D$41</c:f>
              <c:strCache>
                <c:ptCount val="1"/>
                <c:pt idx="0">
                  <c:v>Count of Patient Admission Flag</c:v>
                </c:pt>
              </c:strCache>
            </c:strRef>
          </c:tx>
          <c:spPr>
            <a:solidFill>
              <a:schemeClr val="accent1"/>
            </a:solidFill>
            <a:ln>
              <a:noFill/>
            </a:ln>
            <a:effectLst/>
          </c:spPr>
          <c:invertIfNegative val="0"/>
          <c:dLbls>
            <c:dLbl>
              <c:idx val="0"/>
              <c:tx>
                <c:rich>
                  <a:bodyPr/>
                  <a:lstStyle/>
                  <a:p>
                    <a:fld id="{0236DAD0-5B53-4DDE-9252-53E5ECD1E9E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661-4DC3-8EE5-B053A6F01DDF}"/>
                </c:ext>
              </c:extLst>
            </c:dLbl>
            <c:dLbl>
              <c:idx val="1"/>
              <c:tx>
                <c:rich>
                  <a:bodyPr/>
                  <a:lstStyle/>
                  <a:p>
                    <a:fld id="{653BF35D-0A11-4DD5-A3F6-876B3281CE3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661-4DC3-8EE5-B053A6F01DDF}"/>
                </c:ext>
              </c:extLst>
            </c:dLbl>
            <c:spPr>
              <a:noFill/>
              <a:ln>
                <a:noFill/>
              </a:ln>
              <a:effectLst/>
            </c:spPr>
            <c:txPr>
              <a:bodyPr rot="0" spcFirstLastPara="1" vertOverflow="ellipsis" vert="horz" wrap="square" lIns="0" tIns="0" rIns="0" bIns="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Pivot_Report!$D$40:$D$41</c:f>
              <c:strCache>
                <c:ptCount val="2"/>
                <c:pt idx="0">
                  <c:v>Admitted</c:v>
                </c:pt>
                <c:pt idx="1">
                  <c:v>Not Admitted</c:v>
                </c:pt>
              </c:strCache>
            </c:strRef>
          </c:cat>
          <c:val>
            <c:numRef>
              <c:f>Pivot_Report!$D$40:$D$41</c:f>
              <c:numCache>
                <c:formatCode>0.00</c:formatCode>
                <c:ptCount val="2"/>
                <c:pt idx="0">
                  <c:v>237</c:v>
                </c:pt>
                <c:pt idx="1">
                  <c:v>242</c:v>
                </c:pt>
              </c:numCache>
            </c:numRef>
          </c:val>
          <c:extLst>
            <c:ext xmlns:c15="http://schemas.microsoft.com/office/drawing/2012/chart" uri="{02D57815-91ED-43cb-92C2-25804820EDAC}">
              <c15:datalabelsRange>
                <c15:f>Pivot_Report!$D$40:$D$41</c15:f>
                <c15:dlblRangeCache>
                  <c:ptCount val="2"/>
                  <c:pt idx="0">
                    <c:v>49.48%</c:v>
                  </c:pt>
                  <c:pt idx="1">
                    <c:v>50.52%</c:v>
                  </c:pt>
                </c15:dlblRangeCache>
              </c15:datalabelsRange>
            </c:ext>
            <c:ext xmlns:c16="http://schemas.microsoft.com/office/drawing/2014/chart" uri="{C3380CC4-5D6E-409C-BE32-E72D297353CC}">
              <c16:uniqueId val="{00000000-8661-4DC3-8EE5-B053A6F01DDF}"/>
            </c:ext>
          </c:extLst>
        </c:ser>
        <c:ser>
          <c:idx val="1"/>
          <c:order val="1"/>
          <c:tx>
            <c:strRef>
              <c:f>Pivot_Report!$D$40:$D$41</c:f>
              <c:strCache>
                <c:ptCount val="1"/>
                <c:pt idx="0">
                  <c:v>Count of Patient Admission Flag2</c:v>
                </c:pt>
              </c:strCache>
            </c:strRef>
          </c:tx>
          <c:spPr>
            <a:solidFill>
              <a:schemeClr val="accent2"/>
            </a:solidFill>
            <a:ln>
              <a:noFill/>
            </a:ln>
            <a:effectLst/>
          </c:spPr>
          <c:invertIfNegative val="0"/>
          <c:cat>
            <c:strRef>
              <c:f>Pivot_Report!$D$40:$D$41</c:f>
              <c:strCache>
                <c:ptCount val="2"/>
                <c:pt idx="0">
                  <c:v>Admitted</c:v>
                </c:pt>
                <c:pt idx="1">
                  <c:v>Not Admitted</c:v>
                </c:pt>
              </c:strCache>
            </c:strRef>
          </c:cat>
          <c:val>
            <c:numRef>
              <c:f>Pivot_Report!$D$40:$D$41</c:f>
              <c:numCache>
                <c:formatCode>0.00%</c:formatCode>
                <c:ptCount val="2"/>
                <c:pt idx="0">
                  <c:v>0.49478079331941544</c:v>
                </c:pt>
                <c:pt idx="1">
                  <c:v>0.50521920668058451</c:v>
                </c:pt>
              </c:numCache>
            </c:numRef>
          </c:val>
          <c:extLst>
            <c:ext xmlns:c16="http://schemas.microsoft.com/office/drawing/2014/chart" uri="{C3380CC4-5D6E-409C-BE32-E72D297353CC}">
              <c16:uniqueId val="{00000006-8661-4DC3-8EE5-B053A6F01DDF}"/>
            </c:ext>
          </c:extLst>
        </c:ser>
        <c:dLbls>
          <c:showLegendKey val="0"/>
          <c:showVal val="0"/>
          <c:showCatName val="0"/>
          <c:showSerName val="0"/>
          <c:showPercent val="0"/>
          <c:showBubbleSize val="0"/>
        </c:dLbls>
        <c:gapWidth val="182"/>
        <c:axId val="2079324703"/>
        <c:axId val="2079326143"/>
      </c:barChart>
      <c:catAx>
        <c:axId val="2079324703"/>
        <c:scaling>
          <c:orientation val="minMax"/>
        </c:scaling>
        <c:delete val="1"/>
        <c:axPos val="l"/>
        <c:numFmt formatCode="General" sourceLinked="1"/>
        <c:majorTickMark val="none"/>
        <c:minorTickMark val="none"/>
        <c:tickLblPos val="nextTo"/>
        <c:crossAx val="2079326143"/>
        <c:crosses val="autoZero"/>
        <c:auto val="1"/>
        <c:lblAlgn val="ctr"/>
        <c:lblOffset val="100"/>
        <c:noMultiLvlLbl val="0"/>
      </c:catAx>
      <c:valAx>
        <c:axId val="2079326143"/>
        <c:scaling>
          <c:orientation val="minMax"/>
        </c:scaling>
        <c:delete val="1"/>
        <c:axPos val="b"/>
        <c:numFmt formatCode="0.00" sourceLinked="1"/>
        <c:majorTickMark val="none"/>
        <c:minorTickMark val="none"/>
        <c:tickLblPos val="nextTo"/>
        <c:crossAx val="20793247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0"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[Book1ppp.xlsx]Pivot_Report!PivotTable9</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Pivot_Report!$C$53</c:f>
              <c:strCache>
                <c:ptCount val="1"/>
                <c:pt idx="0">
                  <c:v>Total</c:v>
                </c:pt>
              </c:strCache>
            </c:strRef>
          </c:tx>
          <c:spPr>
            <a:solidFill>
              <a:schemeClr val="accent1"/>
            </a:solidFill>
            <a:ln>
              <a:noFill/>
            </a:ln>
            <a:effectLst/>
          </c:spPr>
          <c:invertIfNegative val="0"/>
          <c:cat>
            <c:strRef>
              <c:f>Pivot_Report!$B$54:$B$61</c:f>
              <c:strCache>
                <c:ptCount val="7"/>
                <c:pt idx="0">
                  <c:v>0-09</c:v>
                </c:pt>
                <c:pt idx="1">
                  <c:v>20-29</c:v>
                </c:pt>
                <c:pt idx="2">
                  <c:v>30-39</c:v>
                </c:pt>
                <c:pt idx="3">
                  <c:v>40-49</c:v>
                </c:pt>
                <c:pt idx="4">
                  <c:v>50-59</c:v>
                </c:pt>
                <c:pt idx="5">
                  <c:v>60-69</c:v>
                </c:pt>
                <c:pt idx="6">
                  <c:v>70-79</c:v>
                </c:pt>
              </c:strCache>
            </c:strRef>
          </c:cat>
          <c:val>
            <c:numRef>
              <c:f>Pivot_Report!$C$54:$C$61</c:f>
              <c:numCache>
                <c:formatCode>0</c:formatCode>
                <c:ptCount val="7"/>
                <c:pt idx="0">
                  <c:v>137</c:v>
                </c:pt>
                <c:pt idx="1">
                  <c:v>64</c:v>
                </c:pt>
                <c:pt idx="2">
                  <c:v>60</c:v>
                </c:pt>
                <c:pt idx="3">
                  <c:v>42</c:v>
                </c:pt>
                <c:pt idx="4">
                  <c:v>53</c:v>
                </c:pt>
                <c:pt idx="5">
                  <c:v>71</c:v>
                </c:pt>
                <c:pt idx="6">
                  <c:v>52</c:v>
                </c:pt>
              </c:numCache>
            </c:numRef>
          </c:val>
          <c:extLst>
            <c:ext xmlns:c16="http://schemas.microsoft.com/office/drawing/2014/chart" uri="{C3380CC4-5D6E-409C-BE32-E72D297353CC}">
              <c16:uniqueId val="{00000000-1150-4BBB-9E60-D8A231233628}"/>
            </c:ext>
          </c:extLst>
        </c:ser>
        <c:dLbls>
          <c:showLegendKey val="0"/>
          <c:showVal val="0"/>
          <c:showCatName val="0"/>
          <c:showSerName val="0"/>
          <c:showPercent val="0"/>
          <c:showBubbleSize val="0"/>
        </c:dLbls>
        <c:gapWidth val="219"/>
        <c:overlap val="-27"/>
        <c:axId val="1418219503"/>
        <c:axId val="1418219983"/>
      </c:barChart>
      <c:catAx>
        <c:axId val="141821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19983"/>
        <c:crosses val="autoZero"/>
        <c:auto val="1"/>
        <c:lblAlgn val="ctr"/>
        <c:lblOffset val="100"/>
        <c:noMultiLvlLbl val="0"/>
      </c:catAx>
      <c:valAx>
        <c:axId val="1418219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1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[Book1ppp.xlsx]Pivot_Report!PivotTable12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Pivot_Report!$Q$17</c:f>
              <c:strCache>
                <c:ptCount val="1"/>
                <c:pt idx="0">
                  <c:v>Total</c:v>
                </c:pt>
              </c:strCache>
            </c:strRef>
          </c:tx>
          <c:spPr>
            <a:solidFill>
              <a:schemeClr val="accent1"/>
            </a:solidFill>
            <a:ln>
              <a:noFill/>
            </a:ln>
            <a:effectLst/>
          </c:spPr>
          <c:invertIfNegative val="0"/>
          <c:cat>
            <c:strRef>
              <c:f>Pivot_Report!$P$18:$P$26</c:f>
              <c:strCache>
                <c:ptCount val="8"/>
                <c:pt idx="0">
                  <c:v>None</c:v>
                </c:pt>
                <c:pt idx="1">
                  <c:v>General Practice</c:v>
                </c:pt>
                <c:pt idx="2">
                  <c:v>Orthopedics</c:v>
                </c:pt>
                <c:pt idx="3">
                  <c:v>Cardiology</c:v>
                </c:pt>
                <c:pt idx="4">
                  <c:v>Gastroenterology</c:v>
                </c:pt>
                <c:pt idx="5">
                  <c:v>Physiotherapy</c:v>
                </c:pt>
                <c:pt idx="6">
                  <c:v>Neurology</c:v>
                </c:pt>
                <c:pt idx="7">
                  <c:v>Renal</c:v>
                </c:pt>
              </c:strCache>
            </c:strRef>
          </c:cat>
          <c:val>
            <c:numRef>
              <c:f>Pivot_Report!$Q$18:$Q$26</c:f>
              <c:numCache>
                <c:formatCode>0</c:formatCode>
                <c:ptCount val="8"/>
                <c:pt idx="0">
                  <c:v>263</c:v>
                </c:pt>
                <c:pt idx="1">
                  <c:v>115</c:v>
                </c:pt>
                <c:pt idx="2">
                  <c:v>45</c:v>
                </c:pt>
                <c:pt idx="3">
                  <c:v>18</c:v>
                </c:pt>
                <c:pt idx="4">
                  <c:v>12</c:v>
                </c:pt>
                <c:pt idx="5">
                  <c:v>11</c:v>
                </c:pt>
                <c:pt idx="6">
                  <c:v>11</c:v>
                </c:pt>
                <c:pt idx="7">
                  <c:v>4</c:v>
                </c:pt>
              </c:numCache>
            </c:numRef>
          </c:val>
          <c:extLst>
            <c:ext xmlns:c16="http://schemas.microsoft.com/office/drawing/2014/chart" uri="{C3380CC4-5D6E-409C-BE32-E72D297353CC}">
              <c16:uniqueId val="{00000000-1E1A-488B-9C71-5AF1EF1E5E03}"/>
            </c:ext>
          </c:extLst>
        </c:ser>
        <c:dLbls>
          <c:showLegendKey val="0"/>
          <c:showVal val="0"/>
          <c:showCatName val="0"/>
          <c:showSerName val="0"/>
          <c:showPercent val="0"/>
          <c:showBubbleSize val="0"/>
        </c:dLbls>
        <c:gapWidth val="182"/>
        <c:axId val="1418216143"/>
        <c:axId val="1418216623"/>
      </c:barChart>
      <c:catAx>
        <c:axId val="141821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16623"/>
        <c:crosses val="autoZero"/>
        <c:auto val="1"/>
        <c:lblAlgn val="ctr"/>
        <c:lblOffset val="100"/>
        <c:noMultiLvlLbl val="0"/>
      </c:catAx>
      <c:valAx>
        <c:axId val="1418216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821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Pivot_Report!$I$3</c:f>
              <c:strCache>
                <c:ptCount val="1"/>
                <c:pt idx="0">
                  <c:v>Total</c:v>
                </c:pt>
              </c:strCache>
            </c:strRef>
          </c:tx>
          <c:spPr>
            <a:solidFill>
              <a:srgbClr val="FF0000"/>
            </a:solidFill>
            <a:ln>
              <a:noFill/>
            </a:ln>
            <a:effectLst/>
          </c:spPr>
          <c:cat>
            <c:strRef>
              <c:f>Pivot_Report!$H$4:$H$34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Pivot_Report!$I$4:$I$34</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0-356A-4B88-8A73-94720C58D476}"/>
            </c:ext>
          </c:extLst>
        </c:ser>
        <c:dLbls>
          <c:showLegendKey val="0"/>
          <c:showVal val="0"/>
          <c:showCatName val="0"/>
          <c:showSerName val="0"/>
          <c:showPercent val="0"/>
          <c:showBubbleSize val="0"/>
        </c:dLbls>
        <c:axId val="2079278623"/>
        <c:axId val="2079288223"/>
      </c:areaChart>
      <c:catAx>
        <c:axId val="2079278623"/>
        <c:scaling>
          <c:orientation val="minMax"/>
        </c:scaling>
        <c:delete val="1"/>
        <c:axPos val="b"/>
        <c:numFmt formatCode="General" sourceLinked="1"/>
        <c:majorTickMark val="out"/>
        <c:minorTickMark val="none"/>
        <c:tickLblPos val="nextTo"/>
        <c:crossAx val="2079288223"/>
        <c:crosses val="autoZero"/>
        <c:auto val="1"/>
        <c:lblAlgn val="ctr"/>
        <c:lblOffset val="100"/>
        <c:noMultiLvlLbl val="0"/>
      </c:catAx>
      <c:valAx>
        <c:axId val="2079288223"/>
        <c:scaling>
          <c:orientation val="minMax"/>
        </c:scaling>
        <c:delete val="1"/>
        <c:axPos val="l"/>
        <c:numFmt formatCode="General" sourceLinked="1"/>
        <c:majorTickMark val="none"/>
        <c:minorTickMark val="none"/>
        <c:tickLblPos val="nextTo"/>
        <c:crossAx val="20792786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Pivot_Report!$E$3</c:f>
              <c:strCache>
                <c:ptCount val="1"/>
                <c:pt idx="0">
                  <c:v>Total</c:v>
                </c:pt>
              </c:strCache>
            </c:strRef>
          </c:tx>
          <c:spPr>
            <a:solidFill>
              <a:srgbClr val="FF0000"/>
            </a:solidFill>
            <a:ln>
              <a:noFill/>
            </a:ln>
            <a:effectLst/>
          </c:spPr>
          <c:cat>
            <c:strRef>
              <c:f>Pivot_Report!$D$4:$D$34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Pivot_Report!$E$4:$E$34</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0-7E35-44E5-ACE3-B8B9A4FA6F7C}"/>
            </c:ext>
          </c:extLst>
        </c:ser>
        <c:dLbls>
          <c:showLegendKey val="0"/>
          <c:showVal val="0"/>
          <c:showCatName val="0"/>
          <c:showSerName val="0"/>
          <c:showPercent val="0"/>
          <c:showBubbleSize val="0"/>
        </c:dLbls>
        <c:axId val="1418222383"/>
        <c:axId val="1418227183"/>
      </c:areaChart>
      <c:catAx>
        <c:axId val="1418222383"/>
        <c:scaling>
          <c:orientation val="minMax"/>
        </c:scaling>
        <c:delete val="1"/>
        <c:axPos val="b"/>
        <c:numFmt formatCode="General" sourceLinked="1"/>
        <c:majorTickMark val="out"/>
        <c:minorTickMark val="none"/>
        <c:tickLblPos val="nextTo"/>
        <c:crossAx val="1418227183"/>
        <c:crosses val="autoZero"/>
        <c:auto val="1"/>
        <c:lblAlgn val="ctr"/>
        <c:lblOffset val="100"/>
        <c:noMultiLvlLbl val="0"/>
      </c:catAx>
      <c:valAx>
        <c:axId val="1418227183"/>
        <c:scaling>
          <c:orientation val="minMax"/>
        </c:scaling>
        <c:delete val="1"/>
        <c:axPos val="l"/>
        <c:numFmt formatCode="0.00" sourceLinked="1"/>
        <c:majorTickMark val="none"/>
        <c:minorTickMark val="none"/>
        <c:tickLblPos val="nextTo"/>
        <c:crossAx val="14182223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[Book1ppp.xlsx]Pivot_Report!PivotTable6</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Pivot_Report!$M$3</c:f>
              <c:strCache>
                <c:ptCount val="1"/>
                <c:pt idx="0">
                  <c:v>Total</c:v>
                </c:pt>
              </c:strCache>
            </c:strRef>
          </c:tx>
          <c:spPr>
            <a:solidFill>
              <a:srgbClr val="FF0000"/>
            </a:solidFill>
            <a:ln>
              <a:noFill/>
            </a:ln>
            <a:effectLst/>
          </c:spPr>
          <c:cat>
            <c:strRef>
              <c:f>Pivot_Report!$L$4:$L$34</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Pivot_Report!$M$4:$M$34</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0-86E3-4CC7-85AE-7B0BA7C9747D}"/>
            </c:ext>
          </c:extLst>
        </c:ser>
        <c:dLbls>
          <c:showLegendKey val="0"/>
          <c:showVal val="0"/>
          <c:showCatName val="0"/>
          <c:showSerName val="0"/>
          <c:showPercent val="0"/>
          <c:showBubbleSize val="0"/>
        </c:dLbls>
        <c:axId val="1418172463"/>
        <c:axId val="1418183023"/>
      </c:areaChart>
      <c:catAx>
        <c:axId val="1418172463"/>
        <c:scaling>
          <c:orientation val="minMax"/>
        </c:scaling>
        <c:delete val="1"/>
        <c:axPos val="b"/>
        <c:numFmt formatCode="General" sourceLinked="1"/>
        <c:majorTickMark val="out"/>
        <c:minorTickMark val="none"/>
        <c:tickLblPos val="nextTo"/>
        <c:crossAx val="1418183023"/>
        <c:crosses val="autoZero"/>
        <c:auto val="1"/>
        <c:lblAlgn val="ctr"/>
        <c:lblOffset val="100"/>
        <c:noMultiLvlLbl val="0"/>
      </c:catAx>
      <c:valAx>
        <c:axId val="1418183023"/>
        <c:scaling>
          <c:orientation val="minMax"/>
        </c:scaling>
        <c:delete val="1"/>
        <c:axPos val="l"/>
        <c:numFmt formatCode="0.00" sourceLinked="1"/>
        <c:majorTickMark val="none"/>
        <c:minorTickMark val="none"/>
        <c:tickLblPos val="nextTo"/>
        <c:crossAx val="1418172463"/>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5128205128205E-3"/>
          <c:y val="0"/>
          <c:w val="0.96474358974358976"/>
          <c:h val="0.82871269795860858"/>
        </c:manualLayout>
      </c:layout>
      <c:barChart>
        <c:barDir val="col"/>
        <c:grouping val="clustered"/>
        <c:varyColors val="0"/>
        <c:ser>
          <c:idx val="0"/>
          <c:order val="0"/>
          <c:tx>
            <c:strRef>
              <c:f>Pivot_Report!$C$53</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Pivot_Report!$B$54:$B$61</c:f>
              <c:strCache>
                <c:ptCount val="7"/>
                <c:pt idx="0">
                  <c:v>0-09</c:v>
                </c:pt>
                <c:pt idx="1">
                  <c:v>20-29</c:v>
                </c:pt>
                <c:pt idx="2">
                  <c:v>30-39</c:v>
                </c:pt>
                <c:pt idx="3">
                  <c:v>40-49</c:v>
                </c:pt>
                <c:pt idx="4">
                  <c:v>50-59</c:v>
                </c:pt>
                <c:pt idx="5">
                  <c:v>60-69</c:v>
                </c:pt>
                <c:pt idx="6">
                  <c:v>70-79</c:v>
                </c:pt>
              </c:strCache>
            </c:strRef>
          </c:cat>
          <c:val>
            <c:numRef>
              <c:f>Pivot_Report!$C$54:$C$61</c:f>
              <c:numCache>
                <c:formatCode>0</c:formatCode>
                <c:ptCount val="7"/>
                <c:pt idx="0">
                  <c:v>137</c:v>
                </c:pt>
                <c:pt idx="1">
                  <c:v>64</c:v>
                </c:pt>
                <c:pt idx="2">
                  <c:v>60</c:v>
                </c:pt>
                <c:pt idx="3">
                  <c:v>42</c:v>
                </c:pt>
                <c:pt idx="4">
                  <c:v>53</c:v>
                </c:pt>
                <c:pt idx="5">
                  <c:v>71</c:v>
                </c:pt>
                <c:pt idx="6">
                  <c:v>52</c:v>
                </c:pt>
              </c:numCache>
            </c:numRef>
          </c:val>
          <c:extLst>
            <c:ext xmlns:c16="http://schemas.microsoft.com/office/drawing/2014/chart" uri="{C3380CC4-5D6E-409C-BE32-E72D297353CC}">
              <c16:uniqueId val="{00000000-B322-4839-9410-C0D260F75ED1}"/>
            </c:ext>
          </c:extLst>
        </c:ser>
        <c:dLbls>
          <c:showLegendKey val="0"/>
          <c:showVal val="0"/>
          <c:showCatName val="0"/>
          <c:showSerName val="0"/>
          <c:showPercent val="0"/>
          <c:showBubbleSize val="0"/>
        </c:dLbls>
        <c:gapWidth val="219"/>
        <c:overlap val="-27"/>
        <c:axId val="1418219503"/>
        <c:axId val="1418219983"/>
      </c:barChart>
      <c:catAx>
        <c:axId val="1418219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8219983"/>
        <c:crosses val="autoZero"/>
        <c:auto val="1"/>
        <c:lblAlgn val="ctr"/>
        <c:lblOffset val="100"/>
        <c:noMultiLvlLbl val="0"/>
      </c:catAx>
      <c:valAx>
        <c:axId val="1418219983"/>
        <c:scaling>
          <c:orientation val="minMax"/>
        </c:scaling>
        <c:delete val="1"/>
        <c:axPos val="l"/>
        <c:numFmt formatCode="0" sourceLinked="1"/>
        <c:majorTickMark val="none"/>
        <c:minorTickMark val="none"/>
        <c:tickLblPos val="nextTo"/>
        <c:crossAx val="141821950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[Book1ppp.xlsx]Pivot_Report!PivotTable10</c:name>
    <c:fmtId val="11"/>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1"/>
          </a:solidFill>
          <a:ln w="0">
            <a:solidFill>
              <a:schemeClr val="lt1"/>
            </a:solidFill>
          </a:ln>
          <a:effectLst/>
        </c:spPr>
      </c:pivotFmt>
      <c:pivotFmt>
        <c:idx val="6"/>
        <c:spPr>
          <a:solidFill>
            <a:schemeClr val="accent1"/>
          </a:solidFill>
          <a:ln w="0">
            <a:solidFill>
              <a:schemeClr val="lt1"/>
            </a:solidFill>
          </a:ln>
          <a:effectLst/>
        </c:spPr>
      </c:pivotFmt>
    </c:pivotFmts>
    <c:plotArea>
      <c:layout/>
      <c:pieChart>
        <c:varyColors val="1"/>
        <c:ser>
          <c:idx val="0"/>
          <c:order val="0"/>
          <c:tx>
            <c:strRef>
              <c:f>Pivot_Report!$C$64</c:f>
              <c:strCache>
                <c:ptCount val="1"/>
                <c:pt idx="0">
                  <c:v>Total</c:v>
                </c:pt>
              </c:strCache>
            </c:strRef>
          </c:tx>
          <c:dPt>
            <c:idx val="0"/>
            <c:bubble3D val="0"/>
            <c:spPr>
              <a:solidFill>
                <a:schemeClr val="accent1"/>
              </a:solidFill>
              <a:ln w="0">
                <a:solidFill>
                  <a:schemeClr val="lt1"/>
                </a:solidFill>
              </a:ln>
              <a:effectLst/>
            </c:spPr>
            <c:extLst>
              <c:ext xmlns:c16="http://schemas.microsoft.com/office/drawing/2014/chart" uri="{C3380CC4-5D6E-409C-BE32-E72D297353CC}">
                <c16:uniqueId val="{00000001-A1F4-40C6-99CA-71AE5B2FEF8B}"/>
              </c:ext>
            </c:extLst>
          </c:dPt>
          <c:dPt>
            <c:idx val="1"/>
            <c:bubble3D val="0"/>
            <c:spPr>
              <a:solidFill>
                <a:schemeClr val="accent2"/>
              </a:solidFill>
              <a:ln w="0">
                <a:solidFill>
                  <a:schemeClr val="lt1"/>
                </a:solidFill>
              </a:ln>
              <a:effectLst/>
            </c:spPr>
            <c:extLst>
              <c:ext xmlns:c16="http://schemas.microsoft.com/office/drawing/2014/chart" uri="{C3380CC4-5D6E-409C-BE32-E72D297353CC}">
                <c16:uniqueId val="{00000003-A1F4-40C6-99CA-71AE5B2FEF8B}"/>
              </c:ext>
            </c:extLst>
          </c:dPt>
          <c:dLbls>
            <c:spPr>
              <a:noFill/>
              <a:ln>
                <a:noFill/>
              </a:ln>
              <a:effectLst/>
            </c:spPr>
            <c:txPr>
              <a:bodyPr rot="0" spcFirstLastPara="1" vertOverflow="ellipsis" vert="horz" wrap="square" lIns="0" tIns="0" rIns="0" bIns="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Pivot_Report!$B$65:$B$67</c:f>
              <c:strCache>
                <c:ptCount val="2"/>
                <c:pt idx="0">
                  <c:v>Delay</c:v>
                </c:pt>
                <c:pt idx="1">
                  <c:v>Ontime</c:v>
                </c:pt>
              </c:strCache>
            </c:strRef>
          </c:cat>
          <c:val>
            <c:numRef>
              <c:f>Pivot_Report!$C$65:$C$67</c:f>
              <c:numCache>
                <c:formatCode>0.00</c:formatCode>
                <c:ptCount val="2"/>
                <c:pt idx="0">
                  <c:v>273</c:v>
                </c:pt>
                <c:pt idx="1">
                  <c:v>206</c:v>
                </c:pt>
              </c:numCache>
            </c:numRef>
          </c:val>
          <c:extLst>
            <c:ext xmlns:c16="http://schemas.microsoft.com/office/drawing/2014/chart" uri="{C3380CC4-5D6E-409C-BE32-E72D297353CC}">
              <c16:uniqueId val="{00000004-A1F4-40C6-99CA-71AE5B2FEF8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1972553396831313"/>
          <c:y val="3.1659959079313918E-2"/>
          <c:w val="0.59335452756697671"/>
          <c:h val="0.198331028976190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Pivot_Report!$R$10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B1-43C1-B194-19DBDD9E2A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B1-43C1-B194-19DBDD9E2A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Pivot_Report!$Q$11:$Q$13</c:f>
              <c:strCache>
                <c:ptCount val="2"/>
                <c:pt idx="0">
                  <c:v>Female</c:v>
                </c:pt>
                <c:pt idx="1">
                  <c:v>Male</c:v>
                </c:pt>
              </c:strCache>
            </c:strRef>
          </c:cat>
          <c:val>
            <c:numRef>
              <c:f>Pivot_Report!$R$11:$R$13</c:f>
              <c:numCache>
                <c:formatCode>0</c:formatCode>
                <c:ptCount val="2"/>
                <c:pt idx="0">
                  <c:v>235</c:v>
                </c:pt>
                <c:pt idx="1">
                  <c:v>244</c:v>
                </c:pt>
              </c:numCache>
            </c:numRef>
          </c:val>
          <c:extLst>
            <c:ext xmlns:c16="http://schemas.microsoft.com/office/drawing/2014/chart" uri="{C3380CC4-5D6E-409C-BE32-E72D297353CC}">
              <c16:uniqueId val="{00000004-E7B1-43C1-B194-19DBDD9E2A9C}"/>
            </c:ext>
          </c:extLst>
        </c:ser>
        <c:dLbls>
          <c:showLegendKey val="0"/>
          <c:showVal val="0"/>
          <c:showCatName val="0"/>
          <c:showSerName val="0"/>
          <c:showPercent val="0"/>
          <c:showBubbleSize val="0"/>
          <c:showLeaderLines val="0"/>
        </c:dLbls>
        <c:firstSliceAng val="0"/>
        <c:holeSize val="38"/>
      </c:doughnutChart>
      <c:spPr>
        <a:noFill/>
        <a:ln>
          <a:noFill/>
        </a:ln>
        <a:effectLst/>
      </c:spPr>
    </c:plotArea>
    <c:legend>
      <c:legendPos val="r"/>
      <c:layout>
        <c:manualLayout>
          <c:xMode val="edge"/>
          <c:yMode val="edge"/>
          <c:x val="3.941041836938091E-2"/>
          <c:y val="2.5741155151026873E-2"/>
          <c:w val="0.53803429214714038"/>
          <c:h val="0.13849464966946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[Book1ppp.xlsx]Pivot_Report!PivotTable12</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990244715019704"/>
          <c:y val="9.375E-2"/>
          <c:w val="0.69946426991158672"/>
          <c:h val="0.73282603346456698"/>
        </c:manualLayout>
      </c:layout>
      <c:barChart>
        <c:barDir val="bar"/>
        <c:grouping val="clustered"/>
        <c:varyColors val="0"/>
        <c:ser>
          <c:idx val="0"/>
          <c:order val="0"/>
          <c:tx>
            <c:strRef>
              <c:f>Pivot_Report!$Q$17</c:f>
              <c:strCache>
                <c:ptCount val="1"/>
                <c:pt idx="0">
                  <c:v>Total</c:v>
                </c:pt>
              </c:strCache>
            </c:strRef>
          </c:tx>
          <c:spPr>
            <a:solidFill>
              <a:srgbClr val="FF0000"/>
            </a:solidFill>
            <a:ln>
              <a:noFill/>
            </a:ln>
            <a:effectLst/>
          </c:spPr>
          <c:invertIfNegative val="0"/>
          <c:cat>
            <c:strRef>
              <c:f>Pivot_Report!$P$18:$P$26</c:f>
              <c:strCache>
                <c:ptCount val="8"/>
                <c:pt idx="0">
                  <c:v>None</c:v>
                </c:pt>
                <c:pt idx="1">
                  <c:v>General Practice</c:v>
                </c:pt>
                <c:pt idx="2">
                  <c:v>Orthopedics</c:v>
                </c:pt>
                <c:pt idx="3">
                  <c:v>Cardiology</c:v>
                </c:pt>
                <c:pt idx="4">
                  <c:v>Gastroenterology</c:v>
                </c:pt>
                <c:pt idx="5">
                  <c:v>Physiotherapy</c:v>
                </c:pt>
                <c:pt idx="6">
                  <c:v>Neurology</c:v>
                </c:pt>
                <c:pt idx="7">
                  <c:v>Renal</c:v>
                </c:pt>
              </c:strCache>
            </c:strRef>
          </c:cat>
          <c:val>
            <c:numRef>
              <c:f>Pivot_Report!$Q$18:$Q$26</c:f>
              <c:numCache>
                <c:formatCode>0</c:formatCode>
                <c:ptCount val="8"/>
                <c:pt idx="0">
                  <c:v>263</c:v>
                </c:pt>
                <c:pt idx="1">
                  <c:v>115</c:v>
                </c:pt>
                <c:pt idx="2">
                  <c:v>45</c:v>
                </c:pt>
                <c:pt idx="3">
                  <c:v>18</c:v>
                </c:pt>
                <c:pt idx="4">
                  <c:v>12</c:v>
                </c:pt>
                <c:pt idx="5">
                  <c:v>11</c:v>
                </c:pt>
                <c:pt idx="6">
                  <c:v>11</c:v>
                </c:pt>
                <c:pt idx="7">
                  <c:v>4</c:v>
                </c:pt>
              </c:numCache>
            </c:numRef>
          </c:val>
          <c:extLst>
            <c:ext xmlns:c16="http://schemas.microsoft.com/office/drawing/2014/chart" uri="{C3380CC4-5D6E-409C-BE32-E72D297353CC}">
              <c16:uniqueId val="{00000000-947F-4435-988C-DD2D47A6E9A1}"/>
            </c:ext>
          </c:extLst>
        </c:ser>
        <c:dLbls>
          <c:showLegendKey val="0"/>
          <c:showVal val="0"/>
          <c:showCatName val="0"/>
          <c:showSerName val="0"/>
          <c:showPercent val="0"/>
          <c:showBubbleSize val="0"/>
        </c:dLbls>
        <c:gapWidth val="182"/>
        <c:axId val="1418216143"/>
        <c:axId val="1418216623"/>
      </c:barChart>
      <c:catAx>
        <c:axId val="141821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8216623"/>
        <c:crosses val="autoZero"/>
        <c:auto val="1"/>
        <c:lblAlgn val="ctr"/>
        <c:lblOffset val="100"/>
        <c:noMultiLvlLbl val="0"/>
      </c:catAx>
      <c:valAx>
        <c:axId val="14182166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418216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emf"/><Relationship Id="rId5" Type="http://schemas.openxmlformats.org/officeDocument/2006/relationships/image" Target="../media/image5.svg"/><Relationship Id="rId15" Type="http://schemas.openxmlformats.org/officeDocument/2006/relationships/chart" Target="../charts/chart10.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5080</xdr:colOff>
      <xdr:row>47</xdr:row>
      <xdr:rowOff>40640</xdr:rowOff>
    </xdr:from>
    <xdr:to>
      <xdr:col>5</xdr:col>
      <xdr:colOff>55880</xdr:colOff>
      <xdr:row>49</xdr:row>
      <xdr:rowOff>157480</xdr:rowOff>
    </xdr:to>
    <xdr:graphicFrame macro="">
      <xdr:nvGraphicFramePr>
        <xdr:cNvPr id="7" name="Chart 6">
          <a:extLst>
            <a:ext uri="{FF2B5EF4-FFF2-40B4-BE49-F238E27FC236}">
              <a16:creationId xmlns:a16="http://schemas.microsoft.com/office/drawing/2014/main" id="{C54EE463-9A4E-03B2-DB07-E85ED1680C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139700</xdr:colOff>
      <xdr:row>53</xdr:row>
      <xdr:rowOff>147320</xdr:rowOff>
    </xdr:from>
    <xdr:to>
      <xdr:col>6</xdr:col>
      <xdr:colOff>1341120</xdr:colOff>
      <xdr:row>60</xdr:row>
      <xdr:rowOff>45720</xdr:rowOff>
    </xdr:to>
    <xdr:graphicFrame macro="">
      <xdr:nvGraphicFramePr>
        <xdr:cNvPr id="8" name="Chart 7">
          <a:extLst>
            <a:ext uri="{FF2B5EF4-FFF2-40B4-BE49-F238E27FC236}">
              <a16:creationId xmlns:a16="http://schemas.microsoft.com/office/drawing/2014/main" id="{DB65509B-F923-F03D-A889-B81E7362F0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124460</xdr:colOff>
      <xdr:row>33</xdr:row>
      <xdr:rowOff>45720</xdr:rowOff>
    </xdr:from>
    <xdr:to>
      <xdr:col>20</xdr:col>
      <xdr:colOff>81280</xdr:colOff>
      <xdr:row>42</xdr:row>
      <xdr:rowOff>25400</xdr:rowOff>
    </xdr:to>
    <xdr:graphicFrame macro="">
      <xdr:nvGraphicFramePr>
        <xdr:cNvPr id="11" name="Chart 10">
          <a:extLst>
            <a:ext uri="{FF2B5EF4-FFF2-40B4-BE49-F238E27FC236}">
              <a16:creationId xmlns:a16="http://schemas.microsoft.com/office/drawing/2014/main" id="{4B0C9437-8E5E-0B4E-1AED-B227B0710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175260</xdr:colOff>
      <xdr:row>5</xdr:row>
      <xdr:rowOff>101601</xdr:rowOff>
    </xdr:from>
    <xdr:to>
      <xdr:col>23</xdr:col>
      <xdr:colOff>175260</xdr:colOff>
      <xdr:row>11</xdr:row>
      <xdr:rowOff>86361</xdr:rowOff>
    </xdr:to>
    <mc:AlternateContent xmlns:mc="http://schemas.openxmlformats.org/markup-compatibility/2006">
      <mc:Choice xmlns:a14="http://schemas.microsoft.com/office/drawing/2010/main" Requires="a14">
        <xdr:graphicFrame macro="">
          <xdr:nvGraphicFramePr>
            <xdr:cNvPr id="12" name="Date (Year)">
              <a:extLst>
                <a:ext uri="{FF2B5EF4-FFF2-40B4-BE49-F238E27FC236}">
                  <a16:creationId xmlns:a16="http://schemas.microsoft.com/office/drawing/2014/main" id="{FD0C60E9-E5B7-5D3F-8A8A-2B5B92AC1708}"/>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16009620" y="1016001"/>
              <a:ext cx="1828800" cy="1082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53789</xdr:colOff>
      <xdr:row>0</xdr:row>
      <xdr:rowOff>58271</xdr:rowOff>
    </xdr:from>
    <xdr:to>
      <xdr:col>5</xdr:col>
      <xdr:colOff>528919</xdr:colOff>
      <xdr:row>3</xdr:row>
      <xdr:rowOff>26896</xdr:rowOff>
    </xdr:to>
    <xdr:sp macro="" textlink="">
      <xdr:nvSpPr>
        <xdr:cNvPr id="2" name="Rectangle: Rounded Corners 1">
          <a:extLst>
            <a:ext uri="{FF2B5EF4-FFF2-40B4-BE49-F238E27FC236}">
              <a16:creationId xmlns:a16="http://schemas.microsoft.com/office/drawing/2014/main" id="{39F3B394-DF45-5443-DB25-BA5507BC03E3}"/>
            </a:ext>
          </a:extLst>
        </xdr:cNvPr>
        <xdr:cNvSpPr/>
      </xdr:nvSpPr>
      <xdr:spPr>
        <a:xfrm>
          <a:off x="53789" y="58271"/>
          <a:ext cx="3523130" cy="519954"/>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8965</xdr:colOff>
      <xdr:row>0</xdr:row>
      <xdr:rowOff>58270</xdr:rowOff>
    </xdr:from>
    <xdr:to>
      <xdr:col>7</xdr:col>
      <xdr:colOff>569259</xdr:colOff>
      <xdr:row>3</xdr:row>
      <xdr:rowOff>22412</xdr:rowOff>
    </xdr:to>
    <xdr:sp macro="" textlink="">
      <xdr:nvSpPr>
        <xdr:cNvPr id="3" name="Rectangle: Rounded Corners 2">
          <a:extLst>
            <a:ext uri="{FF2B5EF4-FFF2-40B4-BE49-F238E27FC236}">
              <a16:creationId xmlns:a16="http://schemas.microsoft.com/office/drawing/2014/main" id="{C1158E75-2CE6-1196-119C-24E45D0F7940}"/>
            </a:ext>
          </a:extLst>
        </xdr:cNvPr>
        <xdr:cNvSpPr/>
      </xdr:nvSpPr>
      <xdr:spPr>
        <a:xfrm>
          <a:off x="3666565" y="58270"/>
          <a:ext cx="1169894" cy="515471"/>
        </a:xfrm>
        <a:prstGeom prst="roundRect">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40340</xdr:colOff>
      <xdr:row>0</xdr:row>
      <xdr:rowOff>62752</xdr:rowOff>
    </xdr:from>
    <xdr:to>
      <xdr:col>10</xdr:col>
      <xdr:colOff>103093</xdr:colOff>
      <xdr:row>7</xdr:row>
      <xdr:rowOff>134471</xdr:rowOff>
    </xdr:to>
    <xdr:sp macro="" textlink="">
      <xdr:nvSpPr>
        <xdr:cNvPr id="4" name="Rectangle: Rounded Corners 3">
          <a:extLst>
            <a:ext uri="{FF2B5EF4-FFF2-40B4-BE49-F238E27FC236}">
              <a16:creationId xmlns:a16="http://schemas.microsoft.com/office/drawing/2014/main" id="{CC7FCFD6-CBBF-BE04-9E7B-FA1B16A81A4A}"/>
            </a:ext>
          </a:extLst>
        </xdr:cNvPr>
        <xdr:cNvSpPr/>
      </xdr:nvSpPr>
      <xdr:spPr>
        <a:xfrm>
          <a:off x="4917140" y="62752"/>
          <a:ext cx="1281953" cy="1358154"/>
        </a:xfrm>
        <a:prstGeom prst="roundRect">
          <a:avLst>
            <a:gd name="adj" fmla="val 2331"/>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174811</xdr:colOff>
      <xdr:row>0</xdr:row>
      <xdr:rowOff>62751</xdr:rowOff>
    </xdr:from>
    <xdr:to>
      <xdr:col>12</xdr:col>
      <xdr:colOff>237564</xdr:colOff>
      <xdr:row>7</xdr:row>
      <xdr:rowOff>134470</xdr:rowOff>
    </xdr:to>
    <xdr:sp macro="" textlink="">
      <xdr:nvSpPr>
        <xdr:cNvPr id="5" name="Rectangle: Rounded Corners 4">
          <a:extLst>
            <a:ext uri="{FF2B5EF4-FFF2-40B4-BE49-F238E27FC236}">
              <a16:creationId xmlns:a16="http://schemas.microsoft.com/office/drawing/2014/main" id="{786BD127-1E36-4005-D945-E41E7B26D646}"/>
            </a:ext>
          </a:extLst>
        </xdr:cNvPr>
        <xdr:cNvSpPr/>
      </xdr:nvSpPr>
      <xdr:spPr>
        <a:xfrm>
          <a:off x="6270811" y="62751"/>
          <a:ext cx="1281953" cy="1358154"/>
        </a:xfrm>
        <a:prstGeom prst="roundRect">
          <a:avLst>
            <a:gd name="adj" fmla="val 9324"/>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44823</xdr:colOff>
      <xdr:row>3</xdr:row>
      <xdr:rowOff>76200</xdr:rowOff>
    </xdr:from>
    <xdr:to>
      <xdr:col>1</xdr:col>
      <xdr:colOff>112058</xdr:colOff>
      <xdr:row>17</xdr:row>
      <xdr:rowOff>8965</xdr:rowOff>
    </xdr:to>
    <xdr:sp macro="" textlink="">
      <xdr:nvSpPr>
        <xdr:cNvPr id="6" name="Rectangle: Rounded Corners 5">
          <a:extLst>
            <a:ext uri="{FF2B5EF4-FFF2-40B4-BE49-F238E27FC236}">
              <a16:creationId xmlns:a16="http://schemas.microsoft.com/office/drawing/2014/main" id="{A47EF51B-F47B-500B-B0A8-816312141465}"/>
            </a:ext>
          </a:extLst>
        </xdr:cNvPr>
        <xdr:cNvSpPr/>
      </xdr:nvSpPr>
      <xdr:spPr>
        <a:xfrm rot="5400000">
          <a:off x="-869577" y="1541929"/>
          <a:ext cx="2505636" cy="676835"/>
        </a:xfrm>
        <a:prstGeom prst="roundRect">
          <a:avLst>
            <a:gd name="adj" fmla="val 5409"/>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191525</xdr:colOff>
      <xdr:row>3</xdr:row>
      <xdr:rowOff>94129</xdr:rowOff>
    </xdr:from>
    <xdr:to>
      <xdr:col>3</xdr:col>
      <xdr:colOff>264458</xdr:colOff>
      <xdr:row>9</xdr:row>
      <xdr:rowOff>94130</xdr:rowOff>
    </xdr:to>
    <xdr:sp macro="" textlink="">
      <xdr:nvSpPr>
        <xdr:cNvPr id="7" name="Rectangle: Rounded Corners 6">
          <a:extLst>
            <a:ext uri="{FF2B5EF4-FFF2-40B4-BE49-F238E27FC236}">
              <a16:creationId xmlns:a16="http://schemas.microsoft.com/office/drawing/2014/main" id="{3E3A5B44-7A29-4306-00B4-1E8A4E2F2AA8}"/>
            </a:ext>
          </a:extLst>
        </xdr:cNvPr>
        <xdr:cNvSpPr/>
      </xdr:nvSpPr>
      <xdr:spPr>
        <a:xfrm>
          <a:off x="801125" y="645458"/>
          <a:ext cx="1292133" cy="1102660"/>
        </a:xfrm>
        <a:prstGeom prst="roundRect">
          <a:avLst>
            <a:gd name="adj" fmla="val 0"/>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354106</xdr:colOff>
      <xdr:row>3</xdr:row>
      <xdr:rowOff>94130</xdr:rowOff>
    </xdr:from>
    <xdr:to>
      <xdr:col>5</xdr:col>
      <xdr:colOff>415644</xdr:colOff>
      <xdr:row>9</xdr:row>
      <xdr:rowOff>94131</xdr:rowOff>
    </xdr:to>
    <xdr:sp macro="" textlink="">
      <xdr:nvSpPr>
        <xdr:cNvPr id="8" name="Rectangle: Rounded Corners 7">
          <a:extLst>
            <a:ext uri="{FF2B5EF4-FFF2-40B4-BE49-F238E27FC236}">
              <a16:creationId xmlns:a16="http://schemas.microsoft.com/office/drawing/2014/main" id="{567A643D-7D44-77AB-4E36-DC514D88D403}"/>
            </a:ext>
          </a:extLst>
        </xdr:cNvPr>
        <xdr:cNvSpPr/>
      </xdr:nvSpPr>
      <xdr:spPr>
        <a:xfrm>
          <a:off x="2182906" y="645459"/>
          <a:ext cx="1280738" cy="1102660"/>
        </a:xfrm>
        <a:prstGeom prst="roundRect">
          <a:avLst>
            <a:gd name="adj" fmla="val 0"/>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493059</xdr:colOff>
      <xdr:row>3</xdr:row>
      <xdr:rowOff>94129</xdr:rowOff>
    </xdr:from>
    <xdr:to>
      <xdr:col>7</xdr:col>
      <xdr:colOff>564777</xdr:colOff>
      <xdr:row>9</xdr:row>
      <xdr:rowOff>94130</xdr:rowOff>
    </xdr:to>
    <xdr:sp macro="" textlink="">
      <xdr:nvSpPr>
        <xdr:cNvPr id="9" name="Rectangle: Rounded Corners 8">
          <a:extLst>
            <a:ext uri="{FF2B5EF4-FFF2-40B4-BE49-F238E27FC236}">
              <a16:creationId xmlns:a16="http://schemas.microsoft.com/office/drawing/2014/main" id="{D4092D8E-1EA8-C9B2-AFA2-A7BE5E0A366D}"/>
            </a:ext>
          </a:extLst>
        </xdr:cNvPr>
        <xdr:cNvSpPr/>
      </xdr:nvSpPr>
      <xdr:spPr>
        <a:xfrm>
          <a:off x="3541059" y="645458"/>
          <a:ext cx="1290918" cy="1102660"/>
        </a:xfrm>
        <a:prstGeom prst="roundRect">
          <a:avLst>
            <a:gd name="adj" fmla="val 0"/>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188257</xdr:colOff>
      <xdr:row>12</xdr:row>
      <xdr:rowOff>49305</xdr:rowOff>
    </xdr:from>
    <xdr:to>
      <xdr:col>7</xdr:col>
      <xdr:colOff>555811</xdr:colOff>
      <xdr:row>17</xdr:row>
      <xdr:rowOff>80681</xdr:rowOff>
    </xdr:to>
    <xdr:sp macro="" textlink="">
      <xdr:nvSpPr>
        <xdr:cNvPr id="11" name="Rectangle: Rounded Corners 10">
          <a:extLst>
            <a:ext uri="{FF2B5EF4-FFF2-40B4-BE49-F238E27FC236}">
              <a16:creationId xmlns:a16="http://schemas.microsoft.com/office/drawing/2014/main" id="{2E298F78-559E-DF10-49A1-C61BD448CF32}"/>
            </a:ext>
          </a:extLst>
        </xdr:cNvPr>
        <xdr:cNvSpPr/>
      </xdr:nvSpPr>
      <xdr:spPr>
        <a:xfrm rot="10800000">
          <a:off x="797857" y="2254623"/>
          <a:ext cx="4025154" cy="950258"/>
        </a:xfrm>
        <a:prstGeom prst="roundRect">
          <a:avLst>
            <a:gd name="adj" fmla="val 5409"/>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188257</xdr:colOff>
      <xdr:row>9</xdr:row>
      <xdr:rowOff>161364</xdr:rowOff>
    </xdr:from>
    <xdr:to>
      <xdr:col>7</xdr:col>
      <xdr:colOff>555811</xdr:colOff>
      <xdr:row>12</xdr:row>
      <xdr:rowOff>22410</xdr:rowOff>
    </xdr:to>
    <xdr:sp macro="" textlink="">
      <xdr:nvSpPr>
        <xdr:cNvPr id="12" name="Rectangle: Rounded Corners 11">
          <a:extLst>
            <a:ext uri="{FF2B5EF4-FFF2-40B4-BE49-F238E27FC236}">
              <a16:creationId xmlns:a16="http://schemas.microsoft.com/office/drawing/2014/main" id="{748B4113-18B8-C6FE-F6FB-A100CDEF6F87}"/>
            </a:ext>
          </a:extLst>
        </xdr:cNvPr>
        <xdr:cNvSpPr/>
      </xdr:nvSpPr>
      <xdr:spPr>
        <a:xfrm rot="10800000">
          <a:off x="797857" y="1815352"/>
          <a:ext cx="4025154" cy="412376"/>
        </a:xfrm>
        <a:prstGeom prst="roundRect">
          <a:avLst>
            <a:gd name="adj" fmla="val 0"/>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35857</xdr:colOff>
      <xdr:row>8</xdr:row>
      <xdr:rowOff>26895</xdr:rowOff>
    </xdr:from>
    <xdr:to>
      <xdr:col>12</xdr:col>
      <xdr:colOff>268941</xdr:colOff>
      <xdr:row>17</xdr:row>
      <xdr:rowOff>71719</xdr:rowOff>
    </xdr:to>
    <xdr:sp macro="" textlink="">
      <xdr:nvSpPr>
        <xdr:cNvPr id="13" name="Rectangle: Rounded Corners 12">
          <a:extLst>
            <a:ext uri="{FF2B5EF4-FFF2-40B4-BE49-F238E27FC236}">
              <a16:creationId xmlns:a16="http://schemas.microsoft.com/office/drawing/2014/main" id="{FA2DD346-AF9F-CC7F-D0E8-1CFD25D4DEE4}"/>
            </a:ext>
          </a:extLst>
        </xdr:cNvPr>
        <xdr:cNvSpPr/>
      </xdr:nvSpPr>
      <xdr:spPr>
        <a:xfrm>
          <a:off x="4912657" y="1497107"/>
          <a:ext cx="2671484" cy="1698812"/>
        </a:xfrm>
        <a:prstGeom prst="roundRect">
          <a:avLst>
            <a:gd name="adj" fmla="val 2437"/>
          </a:avLst>
        </a:prstGeom>
        <a:solidFill>
          <a:schemeClr val="accent4">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259976</xdr:colOff>
      <xdr:row>1</xdr:row>
      <xdr:rowOff>44826</xdr:rowOff>
    </xdr:from>
    <xdr:to>
      <xdr:col>5</xdr:col>
      <xdr:colOff>421341</xdr:colOff>
      <xdr:row>2</xdr:row>
      <xdr:rowOff>89647</xdr:rowOff>
    </xdr:to>
    <xdr:sp macro="" textlink="">
      <xdr:nvSpPr>
        <xdr:cNvPr id="14" name="TextBox 13">
          <a:extLst>
            <a:ext uri="{FF2B5EF4-FFF2-40B4-BE49-F238E27FC236}">
              <a16:creationId xmlns:a16="http://schemas.microsoft.com/office/drawing/2014/main" id="{D34746D9-8A45-B9D8-C603-A35C833FBC5A}"/>
            </a:ext>
          </a:extLst>
        </xdr:cNvPr>
        <xdr:cNvSpPr txBox="1"/>
      </xdr:nvSpPr>
      <xdr:spPr>
        <a:xfrm>
          <a:off x="869576" y="228602"/>
          <a:ext cx="2599765"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300" b="1"/>
            <a:t>Hospital Emergency Room Dashboard</a:t>
          </a:r>
        </a:p>
      </xdr:txBody>
    </xdr:sp>
    <xdr:clientData/>
  </xdr:twoCellAnchor>
  <xdr:twoCellAnchor editAs="oneCell">
    <xdr:from>
      <xdr:col>0</xdr:col>
      <xdr:colOff>277903</xdr:colOff>
      <xdr:row>0</xdr:row>
      <xdr:rowOff>67236</xdr:rowOff>
    </xdr:from>
    <xdr:to>
      <xdr:col>1</xdr:col>
      <xdr:colOff>313762</xdr:colOff>
      <xdr:row>2</xdr:row>
      <xdr:rowOff>156883</xdr:rowOff>
    </xdr:to>
    <xdr:pic>
      <xdr:nvPicPr>
        <xdr:cNvPr id="16" name="Picture 15">
          <a:extLst>
            <a:ext uri="{FF2B5EF4-FFF2-40B4-BE49-F238E27FC236}">
              <a16:creationId xmlns:a16="http://schemas.microsoft.com/office/drawing/2014/main" id="{D6FC7436-1B04-7245-8911-6E5D9D12507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995" t="8119" r="24629" b="9077"/>
        <a:stretch>
          <a:fillRect/>
        </a:stretch>
      </xdr:blipFill>
      <xdr:spPr>
        <a:xfrm flipH="1">
          <a:off x="277903" y="67236"/>
          <a:ext cx="645459" cy="457200"/>
        </a:xfrm>
        <a:prstGeom prst="rect">
          <a:avLst/>
        </a:prstGeom>
      </xdr:spPr>
    </xdr:pic>
    <xdr:clientData/>
  </xdr:twoCellAnchor>
  <xdr:twoCellAnchor editAs="oneCell">
    <xdr:from>
      <xdr:col>1</xdr:col>
      <xdr:colOff>336177</xdr:colOff>
      <xdr:row>5</xdr:row>
      <xdr:rowOff>161368</xdr:rowOff>
    </xdr:from>
    <xdr:to>
      <xdr:col>3</xdr:col>
      <xdr:colOff>233083</xdr:colOff>
      <xdr:row>7</xdr:row>
      <xdr:rowOff>22413</xdr:rowOff>
    </xdr:to>
    <xdr:sp macro="" textlink="">
      <xdr:nvSpPr>
        <xdr:cNvPr id="17" name="TextBox 16">
          <a:extLst>
            <a:ext uri="{FF2B5EF4-FFF2-40B4-BE49-F238E27FC236}">
              <a16:creationId xmlns:a16="http://schemas.microsoft.com/office/drawing/2014/main" id="{016C4514-DCEC-DD1D-F9B6-68F4DE017A82}"/>
            </a:ext>
          </a:extLst>
        </xdr:cNvPr>
        <xdr:cNvSpPr txBox="1"/>
      </xdr:nvSpPr>
      <xdr:spPr>
        <a:xfrm>
          <a:off x="945777" y="1080250"/>
          <a:ext cx="1116106"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300" b="1"/>
            <a:t>No.</a:t>
          </a:r>
          <a:r>
            <a:rPr lang="en-IN" sz="1300" b="1" baseline="0"/>
            <a:t> of patients</a:t>
          </a:r>
          <a:endParaRPr lang="en-IN" sz="1300" b="1"/>
        </a:p>
      </xdr:txBody>
    </xdr:sp>
    <xdr:clientData/>
  </xdr:twoCellAnchor>
  <xdr:twoCellAnchor editAs="oneCell">
    <xdr:from>
      <xdr:col>1</xdr:col>
      <xdr:colOff>596152</xdr:colOff>
      <xdr:row>4</xdr:row>
      <xdr:rowOff>49306</xdr:rowOff>
    </xdr:from>
    <xdr:to>
      <xdr:col>2</xdr:col>
      <xdr:colOff>457200</xdr:colOff>
      <xdr:row>5</xdr:row>
      <xdr:rowOff>152400</xdr:rowOff>
    </xdr:to>
    <xdr:sp macro="" textlink="Pivot_Report!B4">
      <xdr:nvSpPr>
        <xdr:cNvPr id="21" name="TextBox 20">
          <a:extLst>
            <a:ext uri="{FF2B5EF4-FFF2-40B4-BE49-F238E27FC236}">
              <a16:creationId xmlns:a16="http://schemas.microsoft.com/office/drawing/2014/main" id="{70FB983B-873B-0091-1EF6-E6178C0BB409}"/>
            </a:ext>
          </a:extLst>
        </xdr:cNvPr>
        <xdr:cNvSpPr txBox="1"/>
      </xdr:nvSpPr>
      <xdr:spPr>
        <a:xfrm>
          <a:off x="1205752" y="784412"/>
          <a:ext cx="470648" cy="28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16341B16-31CC-4DCC-9C58-D379D75FAA52}" type="TxLink">
            <a:rPr lang="en-US" sz="1100" b="1" i="0" u="none" strike="noStrike">
              <a:solidFill>
                <a:srgbClr val="000000"/>
              </a:solidFill>
              <a:latin typeface="Calibri"/>
              <a:ea typeface="Calibri"/>
              <a:cs typeface="Calibri"/>
            </a:rPr>
            <a:pPr algn="ctr"/>
            <a:t>479</a:t>
          </a:fld>
          <a:endParaRPr lang="en-US" b="1"/>
        </a:p>
      </xdr:txBody>
    </xdr:sp>
    <xdr:clientData/>
  </xdr:twoCellAnchor>
  <xdr:twoCellAnchor editAs="oneCell">
    <xdr:from>
      <xdr:col>3</xdr:col>
      <xdr:colOff>439271</xdr:colOff>
      <xdr:row>5</xdr:row>
      <xdr:rowOff>156885</xdr:rowOff>
    </xdr:from>
    <xdr:to>
      <xdr:col>5</xdr:col>
      <xdr:colOff>336177</xdr:colOff>
      <xdr:row>7</xdr:row>
      <xdr:rowOff>17930</xdr:rowOff>
    </xdr:to>
    <xdr:sp macro="" textlink="">
      <xdr:nvSpPr>
        <xdr:cNvPr id="23" name="TextBox 22">
          <a:extLst>
            <a:ext uri="{FF2B5EF4-FFF2-40B4-BE49-F238E27FC236}">
              <a16:creationId xmlns:a16="http://schemas.microsoft.com/office/drawing/2014/main" id="{81622FF4-BFE0-0A73-170A-6B2DC3CF568B}"/>
            </a:ext>
          </a:extLst>
        </xdr:cNvPr>
        <xdr:cNvSpPr txBox="1"/>
      </xdr:nvSpPr>
      <xdr:spPr>
        <a:xfrm>
          <a:off x="2268071" y="1075767"/>
          <a:ext cx="1116106"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300" b="1"/>
            <a:t>Avg</a:t>
          </a:r>
          <a:r>
            <a:rPr lang="en-IN" sz="1300" b="1" baseline="0"/>
            <a:t>. Wait Time</a:t>
          </a:r>
          <a:endParaRPr lang="en-IN" sz="1300" b="1"/>
        </a:p>
      </xdr:txBody>
    </xdr:sp>
    <xdr:clientData/>
  </xdr:twoCellAnchor>
  <xdr:twoCellAnchor editAs="oneCell">
    <xdr:from>
      <xdr:col>3</xdr:col>
      <xdr:colOff>582706</xdr:colOff>
      <xdr:row>4</xdr:row>
      <xdr:rowOff>31377</xdr:rowOff>
    </xdr:from>
    <xdr:to>
      <xdr:col>5</xdr:col>
      <xdr:colOff>161364</xdr:colOff>
      <xdr:row>6</xdr:row>
      <xdr:rowOff>17929</xdr:rowOff>
    </xdr:to>
    <xdr:sp macro="" textlink="Pivot_Report!B10">
      <xdr:nvSpPr>
        <xdr:cNvPr id="29" name="TextBox 28">
          <a:extLst>
            <a:ext uri="{FF2B5EF4-FFF2-40B4-BE49-F238E27FC236}">
              <a16:creationId xmlns:a16="http://schemas.microsoft.com/office/drawing/2014/main" id="{C8C8471C-9D77-0B09-0EBF-07337DA0A9D2}"/>
            </a:ext>
          </a:extLst>
        </xdr:cNvPr>
        <xdr:cNvSpPr txBox="1"/>
      </xdr:nvSpPr>
      <xdr:spPr>
        <a:xfrm>
          <a:off x="2411506" y="766483"/>
          <a:ext cx="797858" cy="354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A9276D72-2225-4ABA-91F3-97E121762EEC}" type="TxLink">
            <a:rPr lang="en-US" sz="1100" b="1" i="0" u="none" strike="noStrike">
              <a:solidFill>
                <a:srgbClr val="000000"/>
              </a:solidFill>
              <a:latin typeface="Calibri"/>
              <a:ea typeface="Calibri"/>
              <a:cs typeface="Calibri"/>
            </a:rPr>
            <a:t>34.90</a:t>
          </a:fld>
          <a:endParaRPr lang="en-US" b="1"/>
        </a:p>
      </xdr:txBody>
    </xdr:sp>
    <xdr:clientData/>
  </xdr:twoCellAnchor>
  <xdr:twoCellAnchor editAs="oneCell">
    <xdr:from>
      <xdr:col>6</xdr:col>
      <xdr:colOff>116542</xdr:colOff>
      <xdr:row>3</xdr:row>
      <xdr:rowOff>107578</xdr:rowOff>
    </xdr:from>
    <xdr:to>
      <xdr:col>7</xdr:col>
      <xdr:colOff>304800</xdr:colOff>
      <xdr:row>5</xdr:row>
      <xdr:rowOff>94130</xdr:rowOff>
    </xdr:to>
    <xdr:sp macro="" textlink="Pivot_Report!B17">
      <xdr:nvSpPr>
        <xdr:cNvPr id="30" name="TextBox 29">
          <a:extLst>
            <a:ext uri="{FF2B5EF4-FFF2-40B4-BE49-F238E27FC236}">
              <a16:creationId xmlns:a16="http://schemas.microsoft.com/office/drawing/2014/main" id="{3D881562-D2AC-5DB2-FC7D-75D8B2F23772}"/>
            </a:ext>
          </a:extLst>
        </xdr:cNvPr>
        <xdr:cNvSpPr txBox="1"/>
      </xdr:nvSpPr>
      <xdr:spPr>
        <a:xfrm>
          <a:off x="3774142" y="658907"/>
          <a:ext cx="797858" cy="354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033B01E-A5B8-4648-96DB-230C4B577EFF}" type="TxLink">
            <a:rPr lang="en-US" sz="1200" b="1" i="0" u="none" strike="noStrike">
              <a:solidFill>
                <a:srgbClr val="000000"/>
              </a:solidFill>
              <a:latin typeface="Calibri"/>
              <a:ea typeface="Calibri"/>
              <a:cs typeface="Calibri"/>
            </a:rPr>
            <a:t>5.30</a:t>
          </a:fld>
          <a:endParaRPr lang="en-US" sz="1200" b="1"/>
        </a:p>
      </xdr:txBody>
    </xdr:sp>
    <xdr:clientData/>
  </xdr:twoCellAnchor>
  <xdr:twoCellAnchor editAs="oneCell">
    <xdr:from>
      <xdr:col>5</xdr:col>
      <xdr:colOff>542364</xdr:colOff>
      <xdr:row>5</xdr:row>
      <xdr:rowOff>26894</xdr:rowOff>
    </xdr:from>
    <xdr:to>
      <xdr:col>7</xdr:col>
      <xdr:colOff>555811</xdr:colOff>
      <xdr:row>7</xdr:row>
      <xdr:rowOff>76199</xdr:rowOff>
    </xdr:to>
    <xdr:sp macro="" textlink="">
      <xdr:nvSpPr>
        <xdr:cNvPr id="31" name="TextBox 30">
          <a:extLst>
            <a:ext uri="{FF2B5EF4-FFF2-40B4-BE49-F238E27FC236}">
              <a16:creationId xmlns:a16="http://schemas.microsoft.com/office/drawing/2014/main" id="{1A61225C-8FC4-DD92-D487-D672030CD0AA}"/>
            </a:ext>
          </a:extLst>
        </xdr:cNvPr>
        <xdr:cNvSpPr txBox="1"/>
      </xdr:nvSpPr>
      <xdr:spPr>
        <a:xfrm>
          <a:off x="3590364" y="945776"/>
          <a:ext cx="1232647" cy="416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300" b="1"/>
            <a:t>         Patient</a:t>
          </a:r>
          <a:r>
            <a:rPr lang="en-IN" sz="1300" b="1" baseline="0"/>
            <a:t> Satisfaction Score</a:t>
          </a:r>
          <a:endParaRPr lang="en-IN" sz="1300" b="1"/>
        </a:p>
      </xdr:txBody>
    </xdr:sp>
    <xdr:clientData/>
  </xdr:twoCellAnchor>
  <xdr:twoCellAnchor editAs="oneCell">
    <xdr:from>
      <xdr:col>2</xdr:col>
      <xdr:colOff>502024</xdr:colOff>
      <xdr:row>3</xdr:row>
      <xdr:rowOff>76200</xdr:rowOff>
    </xdr:from>
    <xdr:to>
      <xdr:col>3</xdr:col>
      <xdr:colOff>295836</xdr:colOff>
      <xdr:row>5</xdr:row>
      <xdr:rowOff>112059</xdr:rowOff>
    </xdr:to>
    <xdr:pic>
      <xdr:nvPicPr>
        <xdr:cNvPr id="33" name="Graphic 32" descr="Male profile with solid fill">
          <a:extLst>
            <a:ext uri="{FF2B5EF4-FFF2-40B4-BE49-F238E27FC236}">
              <a16:creationId xmlns:a16="http://schemas.microsoft.com/office/drawing/2014/main" id="{921B1624-014C-6F31-0799-34B04564A70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21224" y="627529"/>
          <a:ext cx="403412" cy="403412"/>
        </a:xfrm>
        <a:prstGeom prst="rect">
          <a:avLst/>
        </a:prstGeom>
      </xdr:spPr>
    </xdr:pic>
    <xdr:clientData/>
  </xdr:twoCellAnchor>
  <xdr:twoCellAnchor editAs="oneCell">
    <xdr:from>
      <xdr:col>5</xdr:col>
      <xdr:colOff>53790</xdr:colOff>
      <xdr:row>3</xdr:row>
      <xdr:rowOff>103095</xdr:rowOff>
    </xdr:from>
    <xdr:to>
      <xdr:col>5</xdr:col>
      <xdr:colOff>407896</xdr:colOff>
      <xdr:row>5</xdr:row>
      <xdr:rowOff>89648</xdr:rowOff>
    </xdr:to>
    <xdr:pic>
      <xdr:nvPicPr>
        <xdr:cNvPr id="35" name="Graphic 34" descr="Clock with solid fill">
          <a:extLst>
            <a:ext uri="{FF2B5EF4-FFF2-40B4-BE49-F238E27FC236}">
              <a16:creationId xmlns:a16="http://schemas.microsoft.com/office/drawing/2014/main" id="{379CBE06-C85D-9AAA-6196-89D8A007C5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01790" y="654424"/>
          <a:ext cx="354106" cy="354106"/>
        </a:xfrm>
        <a:prstGeom prst="rect">
          <a:avLst/>
        </a:prstGeom>
      </xdr:spPr>
    </xdr:pic>
    <xdr:clientData/>
  </xdr:twoCellAnchor>
  <xdr:twoCellAnchor editAs="oneCell">
    <xdr:from>
      <xdr:col>7</xdr:col>
      <xdr:colOff>228600</xdr:colOff>
      <xdr:row>3</xdr:row>
      <xdr:rowOff>80682</xdr:rowOff>
    </xdr:from>
    <xdr:to>
      <xdr:col>7</xdr:col>
      <xdr:colOff>582705</xdr:colOff>
      <xdr:row>5</xdr:row>
      <xdr:rowOff>67234</xdr:rowOff>
    </xdr:to>
    <xdr:pic>
      <xdr:nvPicPr>
        <xdr:cNvPr id="37" name="Graphic 36" descr="Star with solid fill">
          <a:extLst>
            <a:ext uri="{FF2B5EF4-FFF2-40B4-BE49-F238E27FC236}">
              <a16:creationId xmlns:a16="http://schemas.microsoft.com/office/drawing/2014/main" id="{F92A527D-1412-B56B-3F36-A520C1C9A02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95800" y="632011"/>
          <a:ext cx="354105" cy="354105"/>
        </a:xfrm>
        <a:prstGeom prst="rect">
          <a:avLst/>
        </a:prstGeom>
      </xdr:spPr>
    </xdr:pic>
    <xdr:clientData/>
  </xdr:twoCellAnchor>
  <xdr:twoCellAnchor editAs="oneCell">
    <xdr:from>
      <xdr:col>0</xdr:col>
      <xdr:colOff>49306</xdr:colOff>
      <xdr:row>3</xdr:row>
      <xdr:rowOff>80683</xdr:rowOff>
    </xdr:from>
    <xdr:to>
      <xdr:col>1</xdr:col>
      <xdr:colOff>107576</xdr:colOff>
      <xdr:row>17</xdr:row>
      <xdr:rowOff>62753</xdr:rowOff>
    </xdr:to>
    <mc:AlternateContent xmlns:mc="http://schemas.openxmlformats.org/markup-compatibility/2006">
      <mc:Choice xmlns:a14="http://schemas.microsoft.com/office/drawing/2010/main" Requires="a14">
        <xdr:graphicFrame macro="">
          <xdr:nvGraphicFramePr>
            <xdr:cNvPr id="38" name="Date (Month)">
              <a:extLst>
                <a:ext uri="{FF2B5EF4-FFF2-40B4-BE49-F238E27FC236}">
                  <a16:creationId xmlns:a16="http://schemas.microsoft.com/office/drawing/2014/main" id="{5F2A68B0-FF6E-4C56-BF56-B5D2BE79749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9306" y="632012"/>
              <a:ext cx="667870" cy="2554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53789</xdr:colOff>
      <xdr:row>6</xdr:row>
      <xdr:rowOff>49306</xdr:rowOff>
    </xdr:from>
    <xdr:to>
      <xdr:col>3</xdr:col>
      <xdr:colOff>407895</xdr:colOff>
      <xdr:row>10</xdr:row>
      <xdr:rowOff>58270</xdr:rowOff>
    </xdr:to>
    <xdr:graphicFrame macro="">
      <xdr:nvGraphicFramePr>
        <xdr:cNvPr id="39" name="Chart 38">
          <a:extLst>
            <a:ext uri="{FF2B5EF4-FFF2-40B4-BE49-F238E27FC236}">
              <a16:creationId xmlns:a16="http://schemas.microsoft.com/office/drawing/2014/main" id="{2F8074B2-8E36-42EF-8906-71B9E88A9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206188</xdr:colOff>
      <xdr:row>6</xdr:row>
      <xdr:rowOff>67236</xdr:rowOff>
    </xdr:from>
    <xdr:to>
      <xdr:col>5</xdr:col>
      <xdr:colOff>555811</xdr:colOff>
      <xdr:row>10</xdr:row>
      <xdr:rowOff>49308</xdr:rowOff>
    </xdr:to>
    <xdr:graphicFrame macro="">
      <xdr:nvGraphicFramePr>
        <xdr:cNvPr id="40" name="Chart 39">
          <a:extLst>
            <a:ext uri="{FF2B5EF4-FFF2-40B4-BE49-F238E27FC236}">
              <a16:creationId xmlns:a16="http://schemas.microsoft.com/office/drawing/2014/main" id="{D8BFF9B3-3B17-4AC3-BC06-F063A2F99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349622</xdr:colOff>
      <xdr:row>5</xdr:row>
      <xdr:rowOff>179295</xdr:rowOff>
    </xdr:from>
    <xdr:to>
      <xdr:col>8</xdr:col>
      <xdr:colOff>94129</xdr:colOff>
      <xdr:row>10</xdr:row>
      <xdr:rowOff>53788</xdr:rowOff>
    </xdr:to>
    <xdr:graphicFrame macro="">
      <xdr:nvGraphicFramePr>
        <xdr:cNvPr id="41" name="Chart 40">
          <a:extLst>
            <a:ext uri="{FF2B5EF4-FFF2-40B4-BE49-F238E27FC236}">
              <a16:creationId xmlns:a16="http://schemas.microsoft.com/office/drawing/2014/main" id="{F18186FC-9EB0-4939-80AA-BF5ACBAB1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188259</xdr:colOff>
          <xdr:row>9</xdr:row>
          <xdr:rowOff>156882</xdr:rowOff>
        </xdr:from>
        <xdr:to>
          <xdr:col>7</xdr:col>
          <xdr:colOff>551329</xdr:colOff>
          <xdr:row>12</xdr:row>
          <xdr:rowOff>30030</xdr:rowOff>
        </xdr:to>
        <xdr:pic>
          <xdr:nvPicPr>
            <xdr:cNvPr id="49" name="Picture 48">
              <a:extLst>
                <a:ext uri="{FF2B5EF4-FFF2-40B4-BE49-F238E27FC236}">
                  <a16:creationId xmlns:a16="http://schemas.microsoft.com/office/drawing/2014/main" id="{48E957F4-EEC6-962D-6403-B08DBCF50B19}"/>
                </a:ext>
              </a:extLst>
            </xdr:cNvPr>
            <xdr:cNvPicPr>
              <a:picLocks noChangeAspect="1" noChangeArrowheads="1"/>
              <a:extLst>
                <a:ext uri="{84589F7E-364E-4C9E-8A38-B11213B215E9}">
                  <a14:cameraTool cellRange="Pivot_Report!$B$48:$E$50" spid="_x0000_s2079"/>
                </a:ext>
              </a:extLst>
            </xdr:cNvPicPr>
          </xdr:nvPicPr>
          <xdr:blipFill>
            <a:blip xmlns:r="http://schemas.openxmlformats.org/officeDocument/2006/relationships" r:embed="rId11"/>
            <a:srcRect/>
            <a:stretch>
              <a:fillRect/>
            </a:stretch>
          </xdr:blipFill>
          <xdr:spPr bwMode="auto">
            <a:xfrm>
              <a:off x="797859" y="1810870"/>
              <a:ext cx="4020670" cy="42447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201705</xdr:colOff>
      <xdr:row>12</xdr:row>
      <xdr:rowOff>62753</xdr:rowOff>
    </xdr:from>
    <xdr:to>
      <xdr:col>7</xdr:col>
      <xdr:colOff>519952</xdr:colOff>
      <xdr:row>16</xdr:row>
      <xdr:rowOff>112059</xdr:rowOff>
    </xdr:to>
    <xdr:graphicFrame macro="">
      <xdr:nvGraphicFramePr>
        <xdr:cNvPr id="51" name="Chart 50">
          <a:extLst>
            <a:ext uri="{FF2B5EF4-FFF2-40B4-BE49-F238E27FC236}">
              <a16:creationId xmlns:a16="http://schemas.microsoft.com/office/drawing/2014/main" id="{83AC6A77-21D6-462E-9F20-E4D498D3D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147917</xdr:colOff>
      <xdr:row>0</xdr:row>
      <xdr:rowOff>0</xdr:rowOff>
    </xdr:from>
    <xdr:to>
      <xdr:col>13</xdr:col>
      <xdr:colOff>4482</xdr:colOff>
      <xdr:row>7</xdr:row>
      <xdr:rowOff>161365</xdr:rowOff>
    </xdr:to>
    <xdr:graphicFrame macro="">
      <xdr:nvGraphicFramePr>
        <xdr:cNvPr id="55" name="Chart 54">
          <a:extLst>
            <a:ext uri="{FF2B5EF4-FFF2-40B4-BE49-F238E27FC236}">
              <a16:creationId xmlns:a16="http://schemas.microsoft.com/office/drawing/2014/main" id="{5C0B4C18-93D0-43E2-9C44-EE1202103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22413</xdr:colOff>
      <xdr:row>0</xdr:row>
      <xdr:rowOff>0</xdr:rowOff>
    </xdr:from>
    <xdr:to>
      <xdr:col>11</xdr:col>
      <xdr:colOff>44824</xdr:colOff>
      <xdr:row>9</xdr:row>
      <xdr:rowOff>98614</xdr:rowOff>
    </xdr:to>
    <xdr:graphicFrame macro="">
      <xdr:nvGraphicFramePr>
        <xdr:cNvPr id="56" name="Chart 55">
          <a:extLst>
            <a:ext uri="{FF2B5EF4-FFF2-40B4-BE49-F238E27FC236}">
              <a16:creationId xmlns:a16="http://schemas.microsoft.com/office/drawing/2014/main" id="{7872FDCB-F872-40DF-B7D9-10CAEF0B0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8</xdr:col>
      <xdr:colOff>8963</xdr:colOff>
      <xdr:row>7</xdr:row>
      <xdr:rowOff>98614</xdr:rowOff>
    </xdr:from>
    <xdr:to>
      <xdr:col>12</xdr:col>
      <xdr:colOff>259977</xdr:colOff>
      <xdr:row>16</xdr:row>
      <xdr:rowOff>70225</xdr:rowOff>
    </xdr:to>
    <xdr:graphicFrame macro="">
      <xdr:nvGraphicFramePr>
        <xdr:cNvPr id="57" name="Chart 56">
          <a:extLst>
            <a:ext uri="{FF2B5EF4-FFF2-40B4-BE49-F238E27FC236}">
              <a16:creationId xmlns:a16="http://schemas.microsoft.com/office/drawing/2014/main" id="{8C752458-9CD0-446E-9800-4913A78A8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497539</xdr:colOff>
      <xdr:row>16</xdr:row>
      <xdr:rowOff>49306</xdr:rowOff>
    </xdr:from>
    <xdr:to>
      <xdr:col>11</xdr:col>
      <xdr:colOff>340658</xdr:colOff>
      <xdr:row>17</xdr:row>
      <xdr:rowOff>94128</xdr:rowOff>
    </xdr:to>
    <xdr:sp macro="" textlink="">
      <xdr:nvSpPr>
        <xdr:cNvPr id="58" name="TextBox 16">
          <a:extLst>
            <a:ext uri="{FF2B5EF4-FFF2-40B4-BE49-F238E27FC236}">
              <a16:creationId xmlns:a16="http://schemas.microsoft.com/office/drawing/2014/main" id="{9EE12B30-98BA-6650-80E9-21CCE9B2DEB8}"/>
            </a:ext>
          </a:extLst>
        </xdr:cNvPr>
        <xdr:cNvSpPr txBox="1"/>
      </xdr:nvSpPr>
      <xdr:spPr>
        <a:xfrm>
          <a:off x="5374339" y="2989730"/>
          <a:ext cx="1671919" cy="228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IN" sz="800" b="1"/>
            <a:t>No.</a:t>
          </a:r>
          <a:r>
            <a:rPr lang="en-IN" sz="800" b="1" baseline="0"/>
            <a:t> of Patient by Department Referal</a:t>
          </a:r>
          <a:endParaRPr lang="en-IN" sz="800" b="1"/>
        </a:p>
      </xdr:txBody>
    </xdr:sp>
    <xdr:clientData/>
  </xdr:twoCellAnchor>
  <xdr:twoCellAnchor editAs="oneCell">
    <xdr:from>
      <xdr:col>6</xdr:col>
      <xdr:colOff>17930</xdr:colOff>
      <xdr:row>0</xdr:row>
      <xdr:rowOff>85163</xdr:rowOff>
    </xdr:from>
    <xdr:to>
      <xdr:col>7</xdr:col>
      <xdr:colOff>544356</xdr:colOff>
      <xdr:row>3</xdr:row>
      <xdr:rowOff>4481</xdr:rowOff>
    </xdr:to>
    <mc:AlternateContent xmlns:mc="http://schemas.openxmlformats.org/markup-compatibility/2006">
      <mc:Choice xmlns:a14="http://schemas.microsoft.com/office/drawing/2010/main" Requires="a14">
        <xdr:graphicFrame macro="">
          <xdr:nvGraphicFramePr>
            <xdr:cNvPr id="60" name="Date (Year) 1">
              <a:extLst>
                <a:ext uri="{FF2B5EF4-FFF2-40B4-BE49-F238E27FC236}">
                  <a16:creationId xmlns:a16="http://schemas.microsoft.com/office/drawing/2014/main" id="{D1AC6687-C9F8-4D67-88F5-014458CD0333}"/>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dr:sp macro="" textlink="">
          <xdr:nvSpPr>
            <xdr:cNvPr id="0" name=""/>
            <xdr:cNvSpPr>
              <a:spLocks noTextEdit="1"/>
            </xdr:cNvSpPr>
          </xdr:nvSpPr>
          <xdr:spPr>
            <a:xfrm>
              <a:off x="3675530" y="85163"/>
              <a:ext cx="1136026" cy="470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0.07004</cdr:x>
      <cdr:y>0.84211</cdr:y>
    </cdr:from>
    <cdr:to>
      <cdr:x>0.73227</cdr:x>
      <cdr:y>1</cdr:y>
    </cdr:to>
    <cdr:sp macro="" textlink="">
      <cdr:nvSpPr>
        <cdr:cNvPr id="2" name="TextBox 16">
          <a:extLst xmlns:a="http://schemas.openxmlformats.org/drawingml/2006/main">
            <a:ext uri="{FF2B5EF4-FFF2-40B4-BE49-F238E27FC236}">
              <a16:creationId xmlns:a16="http://schemas.microsoft.com/office/drawing/2014/main" id="{016C4514-DCEC-DD1D-F9B6-68F4DE017A82}"/>
            </a:ext>
          </a:extLst>
        </cdr:cNvPr>
        <cdr:cNvSpPr txBox="1"/>
      </cdr:nvSpPr>
      <cdr:spPr>
        <a:xfrm xmlns:a="http://schemas.openxmlformats.org/drawingml/2006/main">
          <a:off x="118035" y="1219202"/>
          <a:ext cx="1116106" cy="22859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800" b="1"/>
            <a:t>Patient</a:t>
          </a:r>
          <a:r>
            <a:rPr lang="en-IN" sz="800" b="1" baseline="0"/>
            <a:t> Attendance Status</a:t>
          </a:r>
          <a:endParaRPr lang="en-IN" sz="800" b="1"/>
        </a:p>
      </cdr:txBody>
    </cdr:sp>
  </cdr:relSizeAnchor>
</c:userShapes>
</file>

<file path=xl/drawings/drawing4.xml><?xml version="1.0" encoding="utf-8"?>
<c:userShapes xmlns:c="http://schemas.openxmlformats.org/drawingml/2006/chart">
  <cdr:relSizeAnchor xmlns:cdr="http://schemas.openxmlformats.org/drawingml/2006/chartDrawing">
    <cdr:from>
      <cdr:x>0.0686</cdr:x>
      <cdr:y>0.72975</cdr:y>
    </cdr:from>
    <cdr:to>
      <cdr:x>0.67151</cdr:x>
      <cdr:y>0.86019</cdr:y>
    </cdr:to>
    <cdr:sp macro="" textlink="">
      <cdr:nvSpPr>
        <cdr:cNvPr id="2" name="TextBox 16">
          <a:extLst xmlns:a="http://schemas.openxmlformats.org/drawingml/2006/main">
            <a:ext uri="{FF2B5EF4-FFF2-40B4-BE49-F238E27FC236}">
              <a16:creationId xmlns:a16="http://schemas.microsoft.com/office/drawing/2014/main" id="{5FB5A85C-E60E-4657-BAF0-425B85BA83CF}"/>
            </a:ext>
          </a:extLst>
        </cdr:cNvPr>
        <cdr:cNvSpPr txBox="1"/>
      </cdr:nvSpPr>
      <cdr:spPr>
        <a:xfrm xmlns:a="http://schemas.openxmlformats.org/drawingml/2006/main">
          <a:off x="127000" y="1278965"/>
          <a:ext cx="1116106" cy="22859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IN" sz="800" b="1"/>
            <a:t>Patient</a:t>
          </a:r>
          <a:r>
            <a:rPr lang="en-IN" sz="800" b="1" baseline="0"/>
            <a:t> Status by Gender</a:t>
          </a:r>
          <a:endParaRPr lang="en-IN" sz="800" b="1"/>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2986114" createdVersion="5" refreshedVersion="8" minRefreshableVersion="3" recordCount="0" supportSubquery="1" supportAdvancedDrill="1" xr:uid="{5C542914-AAB5-41BD-AEFA-AECD215A6591}">
  <cacheSource type="external" connectionId="3"/>
  <cacheFields count="2">
    <cacheField name="[Calendar_table].[Date (Month)].[Date (Month)]" caption="Date (Month)" numFmtId="0" hierarchy="1" level="1">
      <sharedItems count="1">
        <s v="Apr"/>
      </sharedItems>
    </cacheField>
    <cacheField name="[Calendar_table].[Date (Year)].[Date (Year)]" caption="Date (Year)" numFmtId="0" hierarchy="3" level="1">
      <sharedItems count="1">
        <s v="2023"/>
      </sharedItems>
    </cacheField>
  </cacheFields>
  <cacheHierarchies count="36">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3101853" createdVersion="5" refreshedVersion="8" minRefreshableVersion="3" recordCount="0" supportSubquery="1" supportAdvancedDrill="1" xr:uid="{A1DF5E11-9E7A-4B75-BEA6-F72D2481524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3449076" createdVersion="5" refreshedVersion="8" minRefreshableVersion="3" recordCount="0" supportSubquery="1" supportAdvancedDrill="1" xr:uid="{9A2B0D4B-5D6A-4A4B-B4EF-763C6DDE2480}">
  <cacheSource type="external" connectionId="3"/>
  <cacheFields count="4">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Hospital Emergency Room Data].[Patient Attend Status].[Patient Attend Status]" caption="Patient Attend Status" numFmtId="0" hierarchy="17" level="1">
      <sharedItems count="2">
        <s v="Delay"/>
        <s v="Ontime"/>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3912038" createdVersion="5" refreshedVersion="8" minRefreshableVersion="3" recordCount="0" supportSubquery="1" supportAdvancedDrill="1" xr:uid="{A105AB0C-943A-4DD9-A01F-9E5AFB4F0574}">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25"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4259262" createdVersion="5" refreshedVersion="8" minRefreshableVersion="3" recordCount="0" supportSubquery="1" supportAdvancedDrill="1" xr:uid="{C61F60FF-55A3-49D5-9050-C3E9512AE83C}">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5"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4375" createdVersion="5" refreshedVersion="8" minRefreshableVersion="3" recordCount="0" supportSubquery="1" supportAdvancedDrill="1" xr:uid="{DB9C99ED-08D9-4EA3-8A0D-BB915ECA4682}">
  <cacheSource type="external" connectionId="3"/>
  <cacheFields count="3">
    <cacheField name="[Measures].[Average of Patient Waittime]" caption="Average of Patient Waittim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4490739" createdVersion="5" refreshedVersion="8" minRefreshableVersion="3" recordCount="0" supportSubquery="1" supportAdvancedDrill="1" xr:uid="{A5B3FDD5-65B4-4EE5-80B7-7B61016AA651}">
  <cacheSource type="external" connectionId="3"/>
  <cacheFields count="3">
    <cacheField name="[Measures].[Average of Patient Satisfaction Score]" caption="Average of Patient Satisfaction Score" numFmtId="0" hierarchy="30"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4953701" createdVersion="5" refreshedVersion="8" minRefreshableVersion="3" recordCount="0" supportSubquery="1" supportAdvancedDrill="1" xr:uid="{DD4E1503-D95C-4408-A7F7-B8F50E1AB5BC}">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5300924" createdVersion="5" refreshedVersion="8" minRefreshableVersion="3" recordCount="0" supportSubquery="1" supportAdvancedDrill="1" xr:uid="{B711B9CB-6593-4A54-BC98-27D44E5D2CB6}">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8"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5763886" createdVersion="5" refreshedVersion="8" minRefreshableVersion="3" recordCount="0" supportSubquery="1" supportAdvancedDrill="1" xr:uid="{98D04507-4686-4EC8-BB65-6DA43A74685A}">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30"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6111109" createdVersion="5" refreshedVersion="8" minRefreshableVersion="3" recordCount="0" supportSubquery="1" supportAdvancedDrill="1" xr:uid="{FFA3C14C-67FD-4D70-8B54-2D3B855B4FB8}">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25"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6458332" createdVersion="5" refreshedVersion="8" minRefreshableVersion="3" recordCount="0" supportSubquery="1" supportAdvancedDrill="1" xr:uid="{58205B80-59B3-4D09-94BE-D35E5A192A3C}">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3"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50136805556" createdVersion="5" refreshedVersion="8" minRefreshableVersion="3" recordCount="0" supportSubquery="1" supportAdvancedDrill="1" xr:uid="{13954DE9-B99B-4D88-AFA7-FE1EB4ACF783}">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7">
        <s v="0-09"/>
        <s v="20-29"/>
        <s v="30-39"/>
        <s v="40-49"/>
        <s v="50-59"/>
        <s v="60-69"/>
        <s v="70-79"/>
      </sharedItems>
    </cacheField>
    <cacheField name="[Measures].[Count of Age Group]" caption="Count of Age Group" numFmtId="0" hierarchy="34" level="32767"/>
    <cacheField name="[Calendar_table].[Date (Year)].[Date (Year)]" caption="Date (Year)" numFmtId="0" hierarchy="3" level="1">
      <sharedItems containsSemiMixedTypes="0" containsNonDate="0" containsString="0"/>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intu kumar" refreshedDate="46103.543989699072" createdVersion="3" refreshedVersion="8" minRefreshableVersion="3" recordCount="0" supportSubquery="1" supportAdvancedDrill="1" xr:uid="{9ED4701C-7771-4C61-84CE-CDCA8B3C18D7}">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4358281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53026D-C3C3-4DDA-A7F2-9D311ED9614C}" name="PivotTable13" cacheId="903"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13">
  <location ref="V3:V5" firstHeaderRow="1" firstDataRow="1" firstDataCol="1"/>
  <pivotFields count="2">
    <pivotField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s>
  <rowFields count="1">
    <field x="1"/>
  </rowFields>
  <rowItems count="2">
    <i>
      <x/>
    </i>
    <i t="grand">
      <x/>
    </i>
  </rowItems>
  <formats count="1">
    <format dxfId="57">
      <pivotArea outline="0" collapsedLevelsAreSubtotals="1" fieldPosition="0"/>
    </format>
  </formats>
  <pivotHierarchies count="36">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7DF2259-4324-41C9-87BE-5B9494C668A7}" name="PivotTable12" cacheId="915"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16">
  <location ref="P17:Q26" firstHeaderRow="1" firstDataRow="1" firstDataCol="1"/>
  <pivotFields count="4">
    <pivotField allDrilled="1" subtotalTop="0" showAll="0" dataSourceSort="1" defaultSubtotal="0" defaultAttributeDrillState="1"/>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4"/>
    </i>
    <i>
      <x v="2"/>
    </i>
    <i>
      <x v="5"/>
    </i>
    <i>
      <x/>
    </i>
    <i>
      <x v="1"/>
    </i>
    <i>
      <x v="6"/>
    </i>
    <i>
      <x v="3"/>
    </i>
    <i>
      <x v="7"/>
    </i>
    <i t="grand">
      <x/>
    </i>
  </rowItems>
  <colItems count="1">
    <i/>
  </colItems>
  <dataFields count="1">
    <dataField name="Count of Department Referral" fld="2" subtotal="count" baseField="0" baseItem="0"/>
  </dataFields>
  <formats count="1">
    <format dxfId="108">
      <pivotArea outline="0" collapsedLevelsAreSubtotals="1" fieldPosition="0"/>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87F4C3-A952-413E-A07E-8A5451E94301}" name="PivotTable11" cacheId="912"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13">
  <location ref="Q10:R13"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numFmtId="1"/>
  </dataFields>
  <formats count="1">
    <format dxfId="109">
      <pivotArea outline="0" collapsedLevelsAreSubtotals="1" fieldPosition="0"/>
    </format>
  </formats>
  <chartFormats count="6">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2" count="1" selected="0">
            <x v="0"/>
          </reference>
        </references>
      </pivotArea>
    </chartFormat>
    <chartFormat chart="9" format="6">
      <pivotArea type="data" outline="0" fieldPosition="0">
        <references count="2">
          <reference field="4294967294" count="1" selected="0">
            <x v="0"/>
          </reference>
          <reference field="2"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400383-AC16-4A3C-AE66-B9AA94493A1D}" name="PivotTable10" cacheId="909"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13">
  <location ref="B64:C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110">
      <pivotArea outline="0" collapsedLevelsAreSubtotals="1" fieldPosition="0"/>
    </format>
  </format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2" count="1" selected="0">
            <x v="0"/>
          </reference>
        </references>
      </pivotArea>
    </chartFormat>
    <chartFormat chart="11" format="6">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106D932-BE6E-4EA5-B8DE-D265E62D875C}" name="PivotTable9" cacheId="939"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9">
  <location ref="B53:C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Age Group" fld="2" subtotal="count" baseField="0" baseItem="0"/>
  </dataFields>
  <formats count="2">
    <format dxfId="112">
      <pivotArea outline="0" collapsedLevelsAreSubtotals="1" fieldPosition="0"/>
    </format>
    <format dxfId="111">
      <pivotArea collapsedLevelsAreSubtotals="1" fieldPosition="0">
        <references count="1">
          <reference field="1" count="0"/>
        </references>
      </pivotArea>
    </format>
  </format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C2212C-DACF-406D-AC13-046E268394B2}" name="PivotTable8" cacheId="936"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5">
  <location ref="B39:D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14">
      <pivotArea outline="0" collapsedLevelsAreSubtotals="1" fieldPosition="0"/>
    </format>
    <format dxfId="113">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7">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E74538-7F63-4857-8394-BD034D8493AE}" name="PivotTable7" cacheId="933"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10">
  <location ref="P3:Q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numFmtId="1"/>
  </dataFields>
  <formats count="1">
    <format dxfId="115">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DF7DBF-E713-4A95-8A29-48F91299EF70}" name="PivotTable6" cacheId="930"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7">
  <location ref="L3:M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numFmtId="2"/>
  </dataFields>
  <formats count="1">
    <format dxfId="116">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356134-04E7-46C6-B621-04B192C9EE9F}" name="PivotTable5" cacheId="927"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7">
  <location ref="D3:E34"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1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1C38A8-B68B-45C9-A0B2-0920D8ADF9E3}" name="PivotTable4" cacheId="924"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chartFormat="4">
  <location ref="H3:I34"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66A3F7-AB12-416B-A3EB-70ACBAE1A8C0}" name="PivotTable3" cacheId="921"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location ref="B16:B1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20">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84A3EF8-9E9A-4F1A-B59D-D2398EDDA0B1}" name="PivotTable2" cacheId="918"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location ref="B9:B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21">
      <pivotArea outline="0" collapsedLevelsAreSubtotals="1" fieldPosition="0"/>
    </format>
  </format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75D419F-E9BA-4B03-9A7D-C86025E83C64}" name="PivotTable1" cacheId="906" applyNumberFormats="0" applyBorderFormats="0" applyFontFormats="0" applyPatternFormats="0" applyAlignmentFormats="0" applyWidthHeightFormats="1" dataCaption="Values" tag="e5efd0bf-a261-42c4-b180-d31cd14a0b4f" updatedVersion="8" minRefreshableVersion="3" subtotalHiddenItems="1" itemPrintTitles="1" createdVersion="5" indent="0" outline="1" outlineData="1" multipleFieldFilters="0">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B1761D7-D191-4C1F-8C38-3AB79C912A73}" sourceName="[Calendar_table].[Date (Mont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 tabId="2" name="PivotTable10"/>
    <pivotTable tabId="2" name="PivotTable11"/>
    <pivotTable tabId="2" name="PivotTable12"/>
    <pivotTable tabId="2" name="PivotTable13"/>
  </pivotTables>
  <data>
    <olap pivotCacheId="1943582814">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1B58DF07-CFEA-42D7-92AD-85BB2519765D}" sourceName="[Calendar_table].[Date (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943582814">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6AB9A2D6-4E03-49AA-AC19-9271DF15B393}" cache="Slicer_Date__Year" caption="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8B3AB24-CB1A-49B5-AFF2-ECC69DCB8D88}" cache="Slicer_Date__Month" caption="Date (Month)" showCaption="0" level="1" style="mystyle" rowHeight="165600"/>
  <slicer name="Date (Year) 1" xr10:uid="{5A185376-5C68-46CC-BCC3-15DE9AD68367}" cache="Slicer_Date__Year" caption="Date (Year)" columnCount="2" showCaption="0" level="1" style="SlicerStyleDark2"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8E7F0-9856-47DA-ACBE-EAA858145707}">
  <dimension ref="B2:V67"/>
  <sheetViews>
    <sheetView topLeftCell="Q1" zoomScale="150" workbookViewId="0">
      <selection activeCell="V3" sqref="V3"/>
    </sheetView>
  </sheetViews>
  <sheetFormatPr defaultRowHeight="14.4" x14ac:dyDescent="0.3"/>
  <cols>
    <col min="2" max="2" width="16" customWidth="1"/>
    <col min="3" max="3" width="14.44140625" customWidth="1"/>
    <col min="5" max="5" width="17.6640625" customWidth="1"/>
    <col min="7" max="7" width="32.5546875" customWidth="1"/>
    <col min="8" max="8" width="12.5546875" bestFit="1" customWidth="1"/>
    <col min="9" max="9" width="13.109375" customWidth="1"/>
  </cols>
  <sheetData>
    <row r="2" spans="2:22" x14ac:dyDescent="0.3">
      <c r="B2" t="s">
        <v>1</v>
      </c>
      <c r="D2" t="s">
        <v>37</v>
      </c>
      <c r="H2" t="s">
        <v>36</v>
      </c>
      <c r="L2" t="s">
        <v>36</v>
      </c>
      <c r="P2" t="s">
        <v>36</v>
      </c>
    </row>
    <row r="3" spans="2:22" x14ac:dyDescent="0.3">
      <c r="B3" t="s">
        <v>0</v>
      </c>
      <c r="D3" s="3" t="s">
        <v>4</v>
      </c>
      <c r="E3" t="s">
        <v>2</v>
      </c>
      <c r="H3" s="3" t="s">
        <v>4</v>
      </c>
      <c r="I3" t="s">
        <v>0</v>
      </c>
      <c r="L3" s="3" t="s">
        <v>4</v>
      </c>
      <c r="M3" t="s">
        <v>3</v>
      </c>
      <c r="P3" s="3" t="s">
        <v>4</v>
      </c>
      <c r="Q3" t="s">
        <v>38</v>
      </c>
      <c r="V3" s="3" t="s">
        <v>4</v>
      </c>
    </row>
    <row r="4" spans="2:22" x14ac:dyDescent="0.3">
      <c r="B4" s="1">
        <v>479</v>
      </c>
      <c r="D4" s="5" t="s">
        <v>6</v>
      </c>
      <c r="E4" s="2">
        <v>40.473684210526315</v>
      </c>
      <c r="H4" s="5" t="s">
        <v>6</v>
      </c>
      <c r="I4" s="1">
        <v>19</v>
      </c>
      <c r="L4" s="5" t="s">
        <v>6</v>
      </c>
      <c r="M4" s="2">
        <v>3.8</v>
      </c>
      <c r="P4" s="5" t="s">
        <v>42</v>
      </c>
      <c r="Q4" s="6">
        <v>235</v>
      </c>
      <c r="V4" s="5" t="s">
        <v>68</v>
      </c>
    </row>
    <row r="5" spans="2:22" x14ac:dyDescent="0.3">
      <c r="D5" s="5" t="s">
        <v>7</v>
      </c>
      <c r="E5" s="2">
        <v>29.46153846153846</v>
      </c>
      <c r="H5" s="5" t="s">
        <v>7</v>
      </c>
      <c r="I5" s="1">
        <v>13</v>
      </c>
      <c r="L5" s="5" t="s">
        <v>7</v>
      </c>
      <c r="M5" s="2">
        <v>7.75</v>
      </c>
      <c r="P5" s="5" t="s">
        <v>43</v>
      </c>
      <c r="Q5" s="6">
        <v>244</v>
      </c>
      <c r="V5" s="5" t="s">
        <v>5</v>
      </c>
    </row>
    <row r="6" spans="2:22" x14ac:dyDescent="0.3">
      <c r="D6" s="5" t="s">
        <v>8</v>
      </c>
      <c r="E6" s="2">
        <v>33.928571428571431</v>
      </c>
      <c r="H6" s="5" t="s">
        <v>8</v>
      </c>
      <c r="I6" s="1">
        <v>14</v>
      </c>
      <c r="L6" s="5" t="s">
        <v>8</v>
      </c>
      <c r="M6" s="2">
        <v>4.5999999999999996</v>
      </c>
      <c r="P6" s="5" t="s">
        <v>5</v>
      </c>
      <c r="Q6" s="6">
        <v>479</v>
      </c>
    </row>
    <row r="7" spans="2:22" x14ac:dyDescent="0.3">
      <c r="D7" s="5" t="s">
        <v>9</v>
      </c>
      <c r="E7" s="2">
        <v>32.222222222222221</v>
      </c>
      <c r="H7" s="5" t="s">
        <v>9</v>
      </c>
      <c r="I7" s="1">
        <v>9</v>
      </c>
      <c r="L7" s="5" t="s">
        <v>9</v>
      </c>
      <c r="M7" s="2">
        <v>6</v>
      </c>
    </row>
    <row r="8" spans="2:22" x14ac:dyDescent="0.3">
      <c r="D8" s="5" t="s">
        <v>10</v>
      </c>
      <c r="E8" s="2">
        <v>35.736842105263158</v>
      </c>
      <c r="H8" s="5" t="s">
        <v>10</v>
      </c>
      <c r="I8" s="1">
        <v>19</v>
      </c>
      <c r="L8" s="5" t="s">
        <v>10</v>
      </c>
      <c r="M8" s="2">
        <v>5.5714285714285712</v>
      </c>
    </row>
    <row r="9" spans="2:22" x14ac:dyDescent="0.3">
      <c r="B9" t="s">
        <v>2</v>
      </c>
      <c r="D9" s="5" t="s">
        <v>11</v>
      </c>
      <c r="E9" s="2">
        <v>30.142857142857142</v>
      </c>
      <c r="H9" s="5" t="s">
        <v>11</v>
      </c>
      <c r="I9" s="1">
        <v>14</v>
      </c>
      <c r="L9" s="5" t="s">
        <v>11</v>
      </c>
      <c r="M9" s="2">
        <v>2</v>
      </c>
    </row>
    <row r="10" spans="2:22" x14ac:dyDescent="0.3">
      <c r="B10" s="2">
        <v>34.90187891440501</v>
      </c>
      <c r="D10" s="5" t="s">
        <v>12</v>
      </c>
      <c r="E10" s="2">
        <v>33.81818181818182</v>
      </c>
      <c r="H10" s="5" t="s">
        <v>12</v>
      </c>
      <c r="I10" s="1">
        <v>11</v>
      </c>
      <c r="L10" s="5" t="s">
        <v>12</v>
      </c>
      <c r="M10" s="2">
        <v>8</v>
      </c>
      <c r="Q10" s="3" t="s">
        <v>4</v>
      </c>
      <c r="R10" t="s">
        <v>38</v>
      </c>
    </row>
    <row r="11" spans="2:22" x14ac:dyDescent="0.3">
      <c r="D11" s="5" t="s">
        <v>13</v>
      </c>
      <c r="E11" s="2">
        <v>31.681818181818183</v>
      </c>
      <c r="H11" s="5" t="s">
        <v>13</v>
      </c>
      <c r="I11" s="1">
        <v>22</v>
      </c>
      <c r="L11" s="5" t="s">
        <v>13</v>
      </c>
      <c r="M11" s="2">
        <v>8</v>
      </c>
      <c r="Q11" s="5" t="s">
        <v>42</v>
      </c>
      <c r="R11" s="6">
        <v>235</v>
      </c>
    </row>
    <row r="12" spans="2:22" x14ac:dyDescent="0.3">
      <c r="D12" s="5" t="s">
        <v>14</v>
      </c>
      <c r="E12" s="2">
        <v>36.416666666666664</v>
      </c>
      <c r="H12" s="5" t="s">
        <v>14</v>
      </c>
      <c r="I12" s="1">
        <v>12</v>
      </c>
      <c r="L12" s="5" t="s">
        <v>14</v>
      </c>
      <c r="M12" s="2">
        <v>5.25</v>
      </c>
      <c r="Q12" s="5" t="s">
        <v>43</v>
      </c>
      <c r="R12" s="6">
        <v>244</v>
      </c>
    </row>
    <row r="13" spans="2:22" x14ac:dyDescent="0.3">
      <c r="D13" s="5" t="s">
        <v>15</v>
      </c>
      <c r="E13" s="2">
        <v>33.692307692307693</v>
      </c>
      <c r="H13" s="5" t="s">
        <v>15</v>
      </c>
      <c r="I13" s="1">
        <v>13</v>
      </c>
      <c r="L13" s="5" t="s">
        <v>15</v>
      </c>
      <c r="M13" s="2">
        <v>6</v>
      </c>
      <c r="Q13" s="5" t="s">
        <v>5</v>
      </c>
      <c r="R13" s="6">
        <v>479</v>
      </c>
    </row>
    <row r="14" spans="2:22" x14ac:dyDescent="0.3">
      <c r="D14" s="5" t="s">
        <v>16</v>
      </c>
      <c r="E14" s="2">
        <v>39.117647058823529</v>
      </c>
      <c r="H14" s="5" t="s">
        <v>16</v>
      </c>
      <c r="I14" s="1">
        <v>17</v>
      </c>
      <c r="L14" s="5" t="s">
        <v>16</v>
      </c>
      <c r="M14" s="2">
        <v>6.5</v>
      </c>
    </row>
    <row r="15" spans="2:22" x14ac:dyDescent="0.3">
      <c r="D15" s="5" t="s">
        <v>17</v>
      </c>
      <c r="E15" s="2">
        <v>36.93333333333333</v>
      </c>
      <c r="H15" s="5" t="s">
        <v>17</v>
      </c>
      <c r="I15" s="1">
        <v>30</v>
      </c>
      <c r="L15" s="5" t="s">
        <v>17</v>
      </c>
      <c r="M15" s="2">
        <v>5.75</v>
      </c>
    </row>
    <row r="16" spans="2:22" x14ac:dyDescent="0.3">
      <c r="B16" t="s">
        <v>3</v>
      </c>
      <c r="D16" s="5" t="s">
        <v>18</v>
      </c>
      <c r="E16" s="2">
        <v>29.923076923076923</v>
      </c>
      <c r="H16" s="5" t="s">
        <v>18</v>
      </c>
      <c r="I16" s="1">
        <v>13</v>
      </c>
      <c r="L16" s="5" t="s">
        <v>18</v>
      </c>
      <c r="M16" s="2">
        <v>5.6</v>
      </c>
    </row>
    <row r="17" spans="2:17" x14ac:dyDescent="0.3">
      <c r="B17" s="2">
        <v>5.3034482758620687</v>
      </c>
      <c r="D17" s="5" t="s">
        <v>19</v>
      </c>
      <c r="E17" s="2">
        <v>31.666666666666668</v>
      </c>
      <c r="H17" s="5" t="s">
        <v>19</v>
      </c>
      <c r="I17" s="1">
        <v>21</v>
      </c>
      <c r="L17" s="5" t="s">
        <v>19</v>
      </c>
      <c r="M17" s="2">
        <v>6.5</v>
      </c>
      <c r="P17" s="3" t="s">
        <v>4</v>
      </c>
      <c r="Q17" t="s">
        <v>67</v>
      </c>
    </row>
    <row r="18" spans="2:17" x14ac:dyDescent="0.3">
      <c r="D18" s="5" t="s">
        <v>20</v>
      </c>
      <c r="E18" s="2">
        <v>40.25</v>
      </c>
      <c r="H18" s="5" t="s">
        <v>20</v>
      </c>
      <c r="I18" s="1">
        <v>12</v>
      </c>
      <c r="L18" s="5" t="s">
        <v>20</v>
      </c>
      <c r="M18" s="2">
        <v>5.666666666666667</v>
      </c>
      <c r="P18" s="5" t="s">
        <v>63</v>
      </c>
      <c r="Q18" s="6">
        <v>263</v>
      </c>
    </row>
    <row r="19" spans="2:17" x14ac:dyDescent="0.3">
      <c r="D19" s="5" t="s">
        <v>21</v>
      </c>
      <c r="E19" s="2">
        <v>30</v>
      </c>
      <c r="H19" s="5" t="s">
        <v>21</v>
      </c>
      <c r="I19" s="1">
        <v>17</v>
      </c>
      <c r="L19" s="5" t="s">
        <v>21</v>
      </c>
      <c r="M19" s="2">
        <v>5.666666666666667</v>
      </c>
      <c r="P19" s="5" t="s">
        <v>61</v>
      </c>
      <c r="Q19" s="6">
        <v>115</v>
      </c>
    </row>
    <row r="20" spans="2:17" x14ac:dyDescent="0.3">
      <c r="D20" s="5" t="s">
        <v>22</v>
      </c>
      <c r="E20" s="2">
        <v>35</v>
      </c>
      <c r="H20" s="5" t="s">
        <v>22</v>
      </c>
      <c r="I20" s="1">
        <v>16</v>
      </c>
      <c r="L20" s="5" t="s">
        <v>22</v>
      </c>
      <c r="M20" s="2">
        <v>5.8</v>
      </c>
      <c r="P20" s="5" t="s">
        <v>64</v>
      </c>
      <c r="Q20" s="6">
        <v>45</v>
      </c>
    </row>
    <row r="21" spans="2:17" x14ac:dyDescent="0.3">
      <c r="D21" s="5" t="s">
        <v>23</v>
      </c>
      <c r="E21" s="2">
        <v>41.85</v>
      </c>
      <c r="H21" s="5" t="s">
        <v>23</v>
      </c>
      <c r="I21" s="1">
        <v>20</v>
      </c>
      <c r="L21" s="5" t="s">
        <v>23</v>
      </c>
      <c r="M21" s="2">
        <v>4.666666666666667</v>
      </c>
      <c r="P21" s="5" t="s">
        <v>59</v>
      </c>
      <c r="Q21" s="6">
        <v>18</v>
      </c>
    </row>
    <row r="22" spans="2:17" x14ac:dyDescent="0.3">
      <c r="D22" s="5" t="s">
        <v>24</v>
      </c>
      <c r="E22" s="2">
        <v>33.277777777777779</v>
      </c>
      <c r="H22" s="5" t="s">
        <v>24</v>
      </c>
      <c r="I22" s="1">
        <v>18</v>
      </c>
      <c r="L22" s="5" t="s">
        <v>24</v>
      </c>
      <c r="M22" s="2">
        <v>4.833333333333333</v>
      </c>
      <c r="P22" s="5" t="s">
        <v>60</v>
      </c>
      <c r="Q22" s="6">
        <v>12</v>
      </c>
    </row>
    <row r="23" spans="2:17" x14ac:dyDescent="0.3">
      <c r="D23" s="5" t="s">
        <v>25</v>
      </c>
      <c r="E23" s="2">
        <v>32.9375</v>
      </c>
      <c r="H23" s="5" t="s">
        <v>25</v>
      </c>
      <c r="I23" s="1">
        <v>16</v>
      </c>
      <c r="L23" s="5" t="s">
        <v>25</v>
      </c>
      <c r="M23" s="2">
        <v>2.3333333333333335</v>
      </c>
      <c r="P23" s="5" t="s">
        <v>65</v>
      </c>
      <c r="Q23" s="6">
        <v>11</v>
      </c>
    </row>
    <row r="24" spans="2:17" x14ac:dyDescent="0.3">
      <c r="D24" s="5" t="s">
        <v>26</v>
      </c>
      <c r="E24" s="2">
        <v>33.266666666666666</v>
      </c>
      <c r="H24" s="5" t="s">
        <v>26</v>
      </c>
      <c r="I24" s="1">
        <v>15</v>
      </c>
      <c r="L24" s="5" t="s">
        <v>26</v>
      </c>
      <c r="M24" s="2">
        <v>4.5</v>
      </c>
      <c r="P24" s="5" t="s">
        <v>62</v>
      </c>
      <c r="Q24" s="6">
        <v>11</v>
      </c>
    </row>
    <row r="25" spans="2:17" x14ac:dyDescent="0.3">
      <c r="D25" s="5" t="s">
        <v>27</v>
      </c>
      <c r="E25" s="2">
        <v>34.444444444444443</v>
      </c>
      <c r="H25" s="5" t="s">
        <v>27</v>
      </c>
      <c r="I25" s="1">
        <v>18</v>
      </c>
      <c r="L25" s="5" t="s">
        <v>27</v>
      </c>
      <c r="M25" s="2">
        <v>6.666666666666667</v>
      </c>
      <c r="P25" s="5" t="s">
        <v>66</v>
      </c>
      <c r="Q25" s="6">
        <v>4</v>
      </c>
    </row>
    <row r="26" spans="2:17" x14ac:dyDescent="0.3">
      <c r="D26" s="5" t="s">
        <v>28</v>
      </c>
      <c r="E26" s="2">
        <v>43.416666666666664</v>
      </c>
      <c r="H26" s="5" t="s">
        <v>28</v>
      </c>
      <c r="I26" s="1">
        <v>12</v>
      </c>
      <c r="L26" s="5" t="s">
        <v>28</v>
      </c>
      <c r="M26" s="2">
        <v>7.5</v>
      </c>
      <c r="P26" s="5" t="s">
        <v>5</v>
      </c>
      <c r="Q26" s="6">
        <v>479</v>
      </c>
    </row>
    <row r="27" spans="2:17" x14ac:dyDescent="0.3">
      <c r="D27" s="5" t="s">
        <v>29</v>
      </c>
      <c r="E27" s="2">
        <v>36.357142857142854</v>
      </c>
      <c r="H27" s="5" t="s">
        <v>29</v>
      </c>
      <c r="I27" s="1">
        <v>14</v>
      </c>
      <c r="L27" s="5" t="s">
        <v>29</v>
      </c>
      <c r="M27" s="2">
        <v>5.2857142857142856</v>
      </c>
    </row>
    <row r="28" spans="2:17" x14ac:dyDescent="0.3">
      <c r="D28" s="5" t="s">
        <v>30</v>
      </c>
      <c r="E28" s="2">
        <v>40.611111111111114</v>
      </c>
      <c r="H28" s="5" t="s">
        <v>30</v>
      </c>
      <c r="I28" s="1">
        <v>18</v>
      </c>
      <c r="L28" s="5" t="s">
        <v>30</v>
      </c>
      <c r="M28" s="2">
        <v>2.875</v>
      </c>
    </row>
    <row r="29" spans="2:17" x14ac:dyDescent="0.3">
      <c r="D29" s="5" t="s">
        <v>31</v>
      </c>
      <c r="E29" s="2">
        <v>29.875</v>
      </c>
      <c r="H29" s="5" t="s">
        <v>31</v>
      </c>
      <c r="I29" s="1">
        <v>16</v>
      </c>
      <c r="L29" s="5" t="s">
        <v>31</v>
      </c>
      <c r="M29" s="2">
        <v>6.25</v>
      </c>
    </row>
    <row r="30" spans="2:17" x14ac:dyDescent="0.3">
      <c r="D30" s="5" t="s">
        <v>32</v>
      </c>
      <c r="E30" s="2">
        <v>33.5</v>
      </c>
      <c r="H30" s="5" t="s">
        <v>32</v>
      </c>
      <c r="I30" s="1">
        <v>16</v>
      </c>
      <c r="L30" s="5" t="s">
        <v>32</v>
      </c>
      <c r="M30" s="2">
        <v>6.125</v>
      </c>
    </row>
    <row r="31" spans="2:17" x14ac:dyDescent="0.3">
      <c r="D31" s="5" t="s">
        <v>33</v>
      </c>
      <c r="E31" s="2">
        <v>32.5625</v>
      </c>
      <c r="H31" s="5" t="s">
        <v>33</v>
      </c>
      <c r="I31" s="1">
        <v>16</v>
      </c>
      <c r="L31" s="5" t="s">
        <v>33</v>
      </c>
      <c r="M31" s="2">
        <v>5.75</v>
      </c>
    </row>
    <row r="32" spans="2:17" x14ac:dyDescent="0.3">
      <c r="D32" s="5" t="s">
        <v>34</v>
      </c>
      <c r="E32" s="2">
        <v>38.571428571428569</v>
      </c>
      <c r="H32" s="5" t="s">
        <v>34</v>
      </c>
      <c r="I32" s="1">
        <v>14</v>
      </c>
      <c r="L32" s="5" t="s">
        <v>34</v>
      </c>
      <c r="M32" s="2">
        <v>5.375</v>
      </c>
    </row>
    <row r="33" spans="2:13" x14ac:dyDescent="0.3">
      <c r="D33" s="5" t="s">
        <v>35</v>
      </c>
      <c r="E33" s="2">
        <v>32.714285714285715</v>
      </c>
      <c r="H33" s="5" t="s">
        <v>35</v>
      </c>
      <c r="I33" s="1">
        <v>14</v>
      </c>
      <c r="L33" s="5" t="s">
        <v>35</v>
      </c>
      <c r="M33" s="2">
        <v>5.6</v>
      </c>
    </row>
    <row r="34" spans="2:13" x14ac:dyDescent="0.3">
      <c r="D34" s="5" t="s">
        <v>5</v>
      </c>
      <c r="E34" s="2">
        <v>34.90187891440501</v>
      </c>
      <c r="H34" s="5" t="s">
        <v>5</v>
      </c>
      <c r="I34" s="1">
        <v>479</v>
      </c>
      <c r="L34" s="5" t="s">
        <v>5</v>
      </c>
      <c r="M34" s="2">
        <v>5.3034482758620687</v>
      </c>
    </row>
    <row r="39" spans="2:13" x14ac:dyDescent="0.3">
      <c r="B39" s="3" t="s">
        <v>4</v>
      </c>
      <c r="C39" t="s">
        <v>39</v>
      </c>
      <c r="D39" t="s">
        <v>44</v>
      </c>
    </row>
    <row r="40" spans="2:13" x14ac:dyDescent="0.3">
      <c r="B40" s="5" t="s">
        <v>40</v>
      </c>
      <c r="C40" s="2">
        <v>237</v>
      </c>
      <c r="D40" s="7">
        <v>0.49478079331941544</v>
      </c>
    </row>
    <row r="41" spans="2:13" x14ac:dyDescent="0.3">
      <c r="B41" s="5" t="s">
        <v>41</v>
      </c>
      <c r="C41" s="2">
        <v>242</v>
      </c>
      <c r="D41" s="7">
        <v>0.50521920668058451</v>
      </c>
    </row>
    <row r="42" spans="2:13" x14ac:dyDescent="0.3">
      <c r="B42" s="5" t="s">
        <v>5</v>
      </c>
      <c r="C42" s="2">
        <v>479</v>
      </c>
      <c r="D42" s="7">
        <v>1</v>
      </c>
    </row>
    <row r="48" spans="2:13" x14ac:dyDescent="0.3">
      <c r="B48" s="9" t="s">
        <v>45</v>
      </c>
      <c r="C48" s="9" t="s">
        <v>46</v>
      </c>
      <c r="D48" s="9" t="s">
        <v>47</v>
      </c>
    </row>
    <row r="49" spans="2:4" x14ac:dyDescent="0.3">
      <c r="B49" t="str">
        <f t="shared" ref="B49:B50" si="0">B41</f>
        <v>Not Admitted</v>
      </c>
      <c r="C49">
        <f t="shared" ref="C48:D50" si="1">C41</f>
        <v>242</v>
      </c>
      <c r="D49" s="8">
        <f t="shared" si="1"/>
        <v>0.50521920668058451</v>
      </c>
    </row>
    <row r="50" spans="2:4" x14ac:dyDescent="0.3">
      <c r="B50" s="5" t="s">
        <v>40</v>
      </c>
      <c r="C50" s="6">
        <v>476</v>
      </c>
      <c r="D50" s="8">
        <v>0.46484375</v>
      </c>
    </row>
    <row r="53" spans="2:4" x14ac:dyDescent="0.3">
      <c r="B53" s="3" t="s">
        <v>4</v>
      </c>
      <c r="C53" t="s">
        <v>55</v>
      </c>
    </row>
    <row r="54" spans="2:4" x14ac:dyDescent="0.3">
      <c r="B54" s="5" t="s">
        <v>48</v>
      </c>
      <c r="C54" s="6">
        <v>137</v>
      </c>
    </row>
    <row r="55" spans="2:4" x14ac:dyDescent="0.3">
      <c r="B55" s="5" t="s">
        <v>49</v>
      </c>
      <c r="C55" s="6">
        <v>64</v>
      </c>
    </row>
    <row r="56" spans="2:4" x14ac:dyDescent="0.3">
      <c r="B56" s="5" t="s">
        <v>50</v>
      </c>
      <c r="C56" s="6">
        <v>60</v>
      </c>
    </row>
    <row r="57" spans="2:4" x14ac:dyDescent="0.3">
      <c r="B57" s="5" t="s">
        <v>51</v>
      </c>
      <c r="C57" s="6">
        <v>42</v>
      </c>
    </row>
    <row r="58" spans="2:4" x14ac:dyDescent="0.3">
      <c r="B58" s="5" t="s">
        <v>52</v>
      </c>
      <c r="C58" s="6">
        <v>53</v>
      </c>
    </row>
    <row r="59" spans="2:4" x14ac:dyDescent="0.3">
      <c r="B59" s="5" t="s">
        <v>53</v>
      </c>
      <c r="C59" s="6">
        <v>71</v>
      </c>
    </row>
    <row r="60" spans="2:4" x14ac:dyDescent="0.3">
      <c r="B60" s="5" t="s">
        <v>54</v>
      </c>
      <c r="C60" s="6">
        <v>52</v>
      </c>
    </row>
    <row r="61" spans="2:4" x14ac:dyDescent="0.3">
      <c r="B61" s="5" t="s">
        <v>5</v>
      </c>
      <c r="C61" s="2">
        <v>479</v>
      </c>
    </row>
    <row r="64" spans="2:4" x14ac:dyDescent="0.3">
      <c r="B64" s="3" t="s">
        <v>4</v>
      </c>
      <c r="C64" t="s">
        <v>56</v>
      </c>
    </row>
    <row r="65" spans="2:3" x14ac:dyDescent="0.3">
      <c r="B65" s="5" t="s">
        <v>58</v>
      </c>
      <c r="C65" s="2">
        <v>273</v>
      </c>
    </row>
    <row r="66" spans="2:3" x14ac:dyDescent="0.3">
      <c r="B66" s="5" t="s">
        <v>57</v>
      </c>
      <c r="C66" s="2">
        <v>206</v>
      </c>
    </row>
    <row r="67" spans="2:3" x14ac:dyDescent="0.3">
      <c r="B67" s="5" t="s">
        <v>5</v>
      </c>
      <c r="C67" s="2">
        <v>479</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CBF30-9754-4AF2-8BB4-7C8A1200C460}">
  <dimension ref="A1:AD59"/>
  <sheetViews>
    <sheetView tabSelected="1" topLeftCell="D1" zoomScale="170" workbookViewId="0">
      <selection activeCell="L20" sqref="L20"/>
    </sheetView>
  </sheetViews>
  <sheetFormatPr defaultRowHeight="14.4" x14ac:dyDescent="0.3"/>
  <sheetData>
    <row r="1" spans="1:30"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row>
    <row r="2" spans="1:30"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row>
    <row r="4" spans="1:30"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row>
    <row r="5" spans="1:30"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row>
    <row r="6" spans="1:30"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row>
    <row r="7" spans="1:30"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row>
    <row r="8" spans="1:30"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row>
    <row r="9" spans="1:30"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row>
    <row r="10" spans="1:30"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row>
    <row r="11" spans="1:30"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row>
    <row r="12" spans="1:30"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row>
    <row r="13" spans="1:30"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row>
    <row r="14" spans="1:30"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row>
    <row r="15" spans="1:30"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row>
    <row r="17" spans="1:30"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row>
    <row r="18" spans="1:30"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row>
    <row r="19" spans="1:30"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row>
    <row r="20" spans="1:30"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row>
    <row r="21" spans="1:30"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row>
    <row r="22" spans="1:30"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row>
    <row r="24" spans="1:30"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row>
    <row r="25" spans="1:30"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row>
    <row r="26" spans="1:30"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row>
    <row r="27" spans="1:30"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row>
    <row r="28" spans="1:30"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row>
    <row r="29" spans="1:30"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row>
    <row r="30" spans="1:30"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row>
    <row r="31" spans="1:30"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row>
    <row r="32" spans="1:30"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row>
    <row r="33" spans="1:30"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row>
    <row r="34" spans="1:30"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row>
    <row r="35" spans="1:30"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row>
    <row r="36" spans="1:30"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row>
    <row r="37" spans="1:30"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row>
    <row r="38" spans="1:30"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row>
    <row r="39" spans="1:30"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row>
    <row r="40" spans="1:30"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row>
    <row r="41" spans="1:30"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row>
    <row r="42" spans="1:30"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row>
    <row r="43" spans="1:30"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row>
    <row r="44" spans="1:30"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row>
    <row r="45" spans="1:30"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row>
    <row r="46" spans="1:30"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row>
    <row r="47" spans="1:30"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row>
    <row r="48" spans="1:30"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row>
    <row r="49" spans="1:30"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row>
    <row r="50" spans="1:30"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row>
    <row r="51" spans="1:30"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row>
    <row r="52" spans="1:30"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row>
    <row r="53" spans="1:30"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row>
    <row r="54" spans="1:30"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row>
    <row r="55" spans="1:30"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row>
    <row r="56" spans="1:30"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row>
    <row r="57" spans="1:30"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row>
    <row r="58" spans="1:30"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row>
    <row r="59" spans="1:30"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BF9EF85-C660-404F-A36C-C974230A4054}">
  <ds:schemaRefs/>
</ds:datastoreItem>
</file>

<file path=customXml/itemProps2.xml><?xml version="1.0" encoding="utf-8"?>
<ds:datastoreItem xmlns:ds="http://schemas.openxmlformats.org/officeDocument/2006/customXml" ds:itemID="{D2384657-93DA-4397-BD1C-2AC89D339539}">
  <ds:schemaRefs/>
</ds:datastoreItem>
</file>

<file path=customXml/itemProps3.xml><?xml version="1.0" encoding="utf-8"?>
<ds:datastoreItem xmlns:ds="http://schemas.openxmlformats.org/officeDocument/2006/customXml" ds:itemID="{0C03048B-D1CF-4CB9-8995-59AEFA5301C2}">
  <ds:schemaRefs/>
</ds:datastoreItem>
</file>

<file path=customXml/itemProps4.xml><?xml version="1.0" encoding="utf-8"?>
<ds:datastoreItem xmlns:ds="http://schemas.openxmlformats.org/officeDocument/2006/customXml" ds:itemID="{CF3F48D2-46C0-4113-AD9E-08F2F3C3CC02}">
  <ds:schemaRefs/>
</ds:datastoreItem>
</file>

<file path=customXml/itemProps5.xml><?xml version="1.0" encoding="utf-8"?>
<ds:datastoreItem xmlns:ds="http://schemas.openxmlformats.org/officeDocument/2006/customXml" ds:itemID="{7B319405-8986-4163-BEA5-90F1FB79EB05}">
  <ds:schemaRefs/>
</ds:datastoreItem>
</file>

<file path=customXml/itemProps6.xml><?xml version="1.0" encoding="utf-8"?>
<ds:datastoreItem xmlns:ds="http://schemas.openxmlformats.org/officeDocument/2006/customXml" ds:itemID="{7A3E2E7C-41E1-4BFF-99B5-E37C3479C39F}">
  <ds:schemaRefs/>
</ds:datastoreItem>
</file>

<file path=customXml/itemProps7.xml><?xml version="1.0" encoding="utf-8"?>
<ds:datastoreItem xmlns:ds="http://schemas.openxmlformats.org/officeDocument/2006/customXml" ds:itemID="{2FC65295-0F15-4ABB-AD40-F6B6F543B665}">
  <ds:schemaRefs/>
</ds:datastoreItem>
</file>

<file path=customXml/itemProps8.xml><?xml version="1.0" encoding="utf-8"?>
<ds:datastoreItem xmlns:ds="http://schemas.openxmlformats.org/officeDocument/2006/customXml" ds:itemID="{7F531B6C-E35D-4922-A1D6-B8C7BC12C554}">
  <ds:schemaRefs/>
</ds:datastoreItem>
</file>

<file path=customXml/itemProps9.xml><?xml version="1.0" encoding="utf-8"?>
<ds:datastoreItem xmlns:ds="http://schemas.openxmlformats.org/officeDocument/2006/customXml" ds:itemID="{269702D7-E496-44D2-ADE2-13B159FE2EC3}">
  <ds:schemaRefs/>
</ds:datastoreItem>
</file>

<file path=customXml/itemProps10.xml><?xml version="1.0" encoding="utf-8"?>
<ds:datastoreItem xmlns:ds="http://schemas.openxmlformats.org/officeDocument/2006/customXml" ds:itemID="{309074FA-FA85-45FC-980C-8F1DCC66302E}">
  <ds:schemaRefs/>
</ds:datastoreItem>
</file>

<file path=customXml/itemProps11.xml><?xml version="1.0" encoding="utf-8"?>
<ds:datastoreItem xmlns:ds="http://schemas.openxmlformats.org/officeDocument/2006/customXml" ds:itemID="{D88B1985-5AB3-4AA6-8750-38EE5E7A22FD}">
  <ds:schemaRefs/>
</ds:datastoreItem>
</file>

<file path=customXml/itemProps12.xml><?xml version="1.0" encoding="utf-8"?>
<ds:datastoreItem xmlns:ds="http://schemas.openxmlformats.org/officeDocument/2006/customXml" ds:itemID="{8E231E51-41CA-4F5E-ABF1-F49C2AA2E3E2}">
  <ds:schemaRefs/>
</ds:datastoreItem>
</file>

<file path=customXml/itemProps13.xml><?xml version="1.0" encoding="utf-8"?>
<ds:datastoreItem xmlns:ds="http://schemas.openxmlformats.org/officeDocument/2006/customXml" ds:itemID="{92F7542D-D251-41CD-B943-EC993B02AACD}">
  <ds:schemaRefs/>
</ds:datastoreItem>
</file>

<file path=customXml/itemProps14.xml><?xml version="1.0" encoding="utf-8"?>
<ds:datastoreItem xmlns:ds="http://schemas.openxmlformats.org/officeDocument/2006/customXml" ds:itemID="{6A0CBC33-5FE7-4F08-BA33-FABC6D36EFEF}">
  <ds:schemaRefs/>
</ds:datastoreItem>
</file>

<file path=customXml/itemProps15.xml><?xml version="1.0" encoding="utf-8"?>
<ds:datastoreItem xmlns:ds="http://schemas.openxmlformats.org/officeDocument/2006/customXml" ds:itemID="{7FAC8645-4DAF-4F72-B804-77B872299548}">
  <ds:schemaRefs/>
</ds:datastoreItem>
</file>

<file path=customXml/itemProps16.xml><?xml version="1.0" encoding="utf-8"?>
<ds:datastoreItem xmlns:ds="http://schemas.openxmlformats.org/officeDocument/2006/customXml" ds:itemID="{A3896862-9651-4C49-8D11-2475326AB3D4}">
  <ds:schemaRefs/>
</ds:datastoreItem>
</file>

<file path=customXml/itemProps17.xml><?xml version="1.0" encoding="utf-8"?>
<ds:datastoreItem xmlns:ds="http://schemas.openxmlformats.org/officeDocument/2006/customXml" ds:itemID="{8D14D3D1-8E2F-4927-B02C-70EEF8565BD4}">
  <ds:schemaRefs/>
</ds:datastoreItem>
</file>

<file path=customXml/itemProps18.xml><?xml version="1.0" encoding="utf-8"?>
<ds:datastoreItem xmlns:ds="http://schemas.openxmlformats.org/officeDocument/2006/customXml" ds:itemID="{BBAECD5E-6BFF-4CBC-87A1-87488E432E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Pivot_Report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Pintu kumar</dc:creator>
  <cp:lastModifiedBy>Pintu kumar</cp:lastModifiedBy>
  <dcterms:created xsi:type="dcterms:W3CDTF">2026-03-20T06:12:56Z</dcterms:created>
  <dcterms:modified xsi:type="dcterms:W3CDTF">2026-03-22T07:42:13Z</dcterms:modified>
</cp:coreProperties>
</file>